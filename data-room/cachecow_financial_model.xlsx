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up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ap Table" sheetId="8" state="visible" r:id="rId8"/>
    <sheet xmlns:r="http://schemas.openxmlformats.org/officeDocument/2006/relationships" name="Cha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x"/>
    <numFmt numFmtId="167" formatCode="0.0"/>
  </numFmts>
  <fonts count="13">
    <font>
      <name val="Calibri"/>
      <family val="2"/>
      <color theme="1"/>
      <sz val="11"/>
      <scheme val="minor"/>
    </font>
    <font>
      <b val="1"/>
      <color rgb="001a3d2b"/>
      <sz val="18"/>
    </font>
    <font>
      <sz val="14"/>
    </font>
    <font>
      <i val="1"/>
      <sz val="11"/>
    </font>
    <font>
      <b val="1"/>
    </font>
    <font>
      <b val="1"/>
      <sz val="12"/>
    </font>
    <font>
      <b val="1"/>
      <color rgb="001a3d2b"/>
      <sz val="12"/>
    </font>
    <font>
      <b val="1"/>
      <color rgb="00FFFFFF"/>
      <sz val="11"/>
    </font>
    <font>
      <b val="1"/>
      <color rgb="00FFFFFF"/>
      <sz val="12"/>
    </font>
    <font>
      <b val="1"/>
      <color rgb="001a3d2b"/>
      <sz val="14"/>
    </font>
    <font>
      <b val="1"/>
      <sz val="11"/>
    </font>
    <font>
      <b val="1"/>
      <color rgb="00FFFFFF"/>
    </font>
    <font>
      <b val="1"/>
      <color rgb="001a3d2b"/>
      <sz val="11"/>
    </font>
  </fonts>
  <fills count="3">
    <fill>
      <patternFill/>
    </fill>
    <fill>
      <patternFill patternType="gray125"/>
    </fill>
    <fill>
      <patternFill patternType="solid">
        <fgColor rgb="001a3d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2" borderId="0" applyAlignment="1" pivotButton="0" quotePrefix="0" xfId="0">
      <alignment horizontal="center" wrapText="1"/>
    </xf>
    <xf numFmtId="0" fontId="7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0" fontId="4" fillId="0" borderId="0" applyAlignment="1" pivotButton="0" quotePrefix="0" xfId="0">
      <alignment horizontal="center"/>
    </xf>
    <xf numFmtId="3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11" fillId="2" borderId="0" applyAlignment="1" pivotButton="0" quotePrefix="0" xfId="0">
      <alignment horizontal="center" wrapText="1"/>
    </xf>
    <xf numFmtId="0" fontId="12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Stream (Y1-Y5)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'Charts'!$A$3:$A$7</f>
            </numRef>
          </cat>
          <val>
            <numRef>
              <f>'Charts'!$B$3:$B$7</f>
            </numRef>
          </val>
        </ser>
        <ser>
          <idx val="1"/>
          <order val="1"/>
          <tx>
            <strRef>
              <f>'Charts'!C2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'Charts'!$A$3:$A$7</f>
            </numRef>
          </cat>
          <val>
            <numRef>
              <f>'Charts'!$C$3:$C$7</f>
            </numRef>
          </val>
        </ser>
        <ser>
          <idx val="2"/>
          <order val="2"/>
          <tx>
            <strRef>
              <f>'Charts'!D2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'Charts'!$A$3:$A$7</f>
            </numRef>
          </cat>
          <val>
            <numRef>
              <f>'Charts'!$D$3:$D$7</f>
            </numRef>
          </val>
        </ser>
        <ser>
          <idx val="3"/>
          <order val="3"/>
          <tx>
            <strRef>
              <f>'Charts'!E2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'Charts'!$A$3:$A$7</f>
            </numRef>
          </cat>
          <val>
            <numRef>
              <f>'Charts'!$E$3:$E$7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Comparison — Total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'Charts'!H10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'Charts'!$G$11:$G$15</f>
            </numRef>
          </cat>
          <val>
            <numRef>
              <f>'Charts'!$H$11:$H$15</f>
            </numRef>
          </val>
        </ser>
        <ser>
          <idx val="1"/>
          <order val="1"/>
          <tx>
            <strRef>
              <f>'Charts'!I10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'Charts'!$G$11:$G$15</f>
            </numRef>
          </cat>
          <val>
            <numRef>
              <f>'Charts'!$I$11:$I$15</f>
            </numRef>
          </val>
        </ser>
        <ser>
          <idx val="2"/>
          <order val="2"/>
          <tx>
            <strRef>
              <f>'Charts'!J10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'Charts'!$G$11:$G$15</f>
            </numRef>
          </cat>
          <val>
            <numRef>
              <f>'Charts'!$J$11:$J$15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Margin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'Charts'!$A$19:$A$23</f>
            </numRef>
          </cat>
          <val>
            <numRef>
              <f>'Charts'!$B$19:$B$23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Gross Margin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Position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'Charts'!H25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'Charts'!$G$26:$G$30</f>
            </numRef>
          </cat>
          <val>
            <numRef>
              <f>'Charts'!$H$26:$H$30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Cash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 Deployment (Cumulative)</a:t>
            </a:r>
          </a:p>
        </rich>
      </tx>
    </title>
    <plotArea>
      <areaChart>
        <grouping val="standard"/>
        <ser>
          <idx val="0"/>
          <order val="0"/>
          <tx>
            <strRef>
              <f>'Charts'!B33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'Charts'!$A$34:$A$38</f>
            </numRef>
          </cat>
          <val>
            <numRef>
              <f>'Charts'!$B$34:$B$38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Devices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8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720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26</row>
      <rowOff>0</rowOff>
    </from>
    <ext cx="720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44</row>
      <rowOff>0</rowOff>
    </from>
    <ext cx="7200000" cy="50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CacheCow / ForcedField Technologies</t>
        </is>
      </c>
    </row>
    <row r="2">
      <c r="A2" s="2" t="inlineStr">
        <is>
          <t>5-Year Financial Model</t>
        </is>
      </c>
    </row>
    <row r="3">
      <c r="A3" s="3" t="inlineStr">
        <is>
          <t>Confidential — April 2026</t>
        </is>
      </c>
    </row>
    <row r="5">
      <c r="A5" s="4" t="inlineStr">
        <is>
          <t>Scenario:</t>
        </is>
      </c>
      <c r="B5" t="inlineStr">
        <is>
          <t>Base</t>
        </is>
      </c>
    </row>
    <row r="7">
      <c r="A7" s="5" t="inlineStr">
        <is>
          <t>Table of Contents</t>
        </is>
      </c>
    </row>
    <row r="8">
      <c r="A8" t="inlineStr">
        <is>
          <t xml:space="preserve">  1. Cover</t>
        </is>
      </c>
      <c r="B8" t="inlineStr">
        <is>
          <t>Overview and scenario selector</t>
        </is>
      </c>
    </row>
    <row r="9">
      <c r="A9" t="inlineStr">
        <is>
          <t xml:space="preserve">  2. Assumptions</t>
        </is>
      </c>
      <c r="B9" t="inlineStr">
        <is>
          <t>All model inputs and parameters</t>
        </is>
      </c>
    </row>
    <row r="10">
      <c r="A10" t="inlineStr">
        <is>
          <t xml:space="preserve">  3. Revenue Buildup</t>
        </is>
      </c>
      <c r="B10" t="inlineStr">
        <is>
          <t>Revenue by stream, Y1-Y5</t>
        </is>
      </c>
    </row>
    <row r="11">
      <c r="A11" t="inlineStr">
        <is>
          <t xml:space="preserve">  4. P&amp;L</t>
        </is>
      </c>
      <c r="B11" t="inlineStr">
        <is>
          <t>Profit &amp; Loss statement</t>
        </is>
      </c>
    </row>
    <row r="12">
      <c r="A12" t="inlineStr">
        <is>
          <t xml:space="preserve">  5. Unit Economics</t>
        </is>
      </c>
      <c r="B12" t="inlineStr">
        <is>
          <t>Per-device and per-ranch metrics</t>
        </is>
      </c>
    </row>
    <row r="13">
      <c r="A13" t="inlineStr">
        <is>
          <t xml:space="preserve">  6. Scenarios</t>
        </is>
      </c>
      <c r="B13" t="inlineStr">
        <is>
          <t>Conservative / Base / Optimistic comparison</t>
        </is>
      </c>
    </row>
    <row r="14">
      <c r="A14" t="inlineStr">
        <is>
          <t xml:space="preserve">  7. Cash Flow</t>
        </is>
      </c>
      <c r="B14" t="inlineStr">
        <is>
          <t>Operating cash flow and runway</t>
        </is>
      </c>
    </row>
    <row r="15">
      <c r="A15" t="inlineStr">
        <is>
          <t xml:space="preserve">  8. Cap Table</t>
        </is>
      </c>
      <c r="B15" t="inlineStr">
        <is>
          <t>Ownership through Seed, A, B</t>
        </is>
      </c>
    </row>
    <row r="16">
      <c r="A16" t="inlineStr">
        <is>
          <t xml:space="preserve">  9. Charts</t>
        </is>
      </c>
      <c r="B16" t="inlineStr">
        <is>
          <t>Visual dashboards</t>
        </is>
      </c>
    </row>
  </sheetData>
  <dataValidations count="1">
    <dataValidation sqref="B5" showDropDown="0" showInputMessage="0" showErrorMessage="0" allowBlank="0" errorTitle="Invalid Scenario" error="Please select a valid scenario" type="list">
      <formula1>"Conservative,Base,Optimistic"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2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A2" s="6" t="inlineStr">
        <is>
          <t>Device &amp; Pricing</t>
        </is>
      </c>
      <c r="B2" s="7" t="n"/>
      <c r="C2" s="7" t="n"/>
      <c r="D2" s="7" t="n"/>
      <c r="E2" s="7" t="n"/>
      <c r="F2" s="7" t="n"/>
    </row>
    <row r="3">
      <c r="A3" t="inlineStr">
        <is>
          <t>Device Unit Price ($)</t>
        </is>
      </c>
      <c r="B3" s="8" t="n">
        <v>95</v>
      </c>
    </row>
    <row r="4">
      <c r="A4" t="inlineStr">
        <is>
          <t>Annual Subscription ($/animal/yr)</t>
        </is>
      </c>
      <c r="B4" s="8" t="n">
        <v>50</v>
      </c>
    </row>
    <row r="5">
      <c r="A5" t="inlineStr">
        <is>
          <t>Hardware COGS per Device ($)</t>
        </is>
      </c>
      <c r="B5" s="8" t="n">
        <v>33</v>
      </c>
    </row>
    <row r="6">
      <c r="A6" t="inlineStr">
        <is>
          <t>Subscription COGS per Animal/yr ($)</t>
        </is>
      </c>
      <c r="B6" s="8" t="n">
        <v>17.5</v>
      </c>
    </row>
    <row r="7">
      <c r="A7" t="inlineStr">
        <is>
          <t>Hardware Gross Margin</t>
        </is>
      </c>
      <c r="B7" s="9">
        <f>(B3-B5)/B3</f>
        <v/>
      </c>
    </row>
    <row r="8">
      <c r="A8" t="inlineStr">
        <is>
          <t>Subscription Gross Margin</t>
        </is>
      </c>
      <c r="B8" s="9">
        <f>(B4-B6)/B4</f>
        <v/>
      </c>
    </row>
    <row r="10">
      <c r="A10" s="6" t="inlineStr">
        <is>
          <t>Deployment Schedule</t>
        </is>
      </c>
      <c r="B10" s="7" t="n"/>
      <c r="C10" s="7" t="n"/>
      <c r="D10" s="7" t="n"/>
      <c r="E10" s="7" t="n"/>
      <c r="F10" s="7" t="n"/>
    </row>
    <row r="11">
      <c r="A11" t="inlineStr"/>
      <c r="B11" s="10" t="inlineStr">
        <is>
          <t>Year 1</t>
        </is>
      </c>
      <c r="C11" s="10" t="inlineStr">
        <is>
          <t>Year 2</t>
        </is>
      </c>
      <c r="D11" s="10" t="inlineStr">
        <is>
          <t>Year 3</t>
        </is>
      </c>
      <c r="E11" s="10" t="inlineStr">
        <is>
          <t>Year 4</t>
        </is>
      </c>
      <c r="F11" s="10" t="inlineStr">
        <is>
          <t>Year 5</t>
        </is>
      </c>
    </row>
    <row r="12">
      <c r="A12" t="inlineStr">
        <is>
          <t>Devices Deployed (Cumulative)</t>
        </is>
      </c>
      <c r="B12" s="11" t="n">
        <v>10000</v>
      </c>
      <c r="C12" s="11" t="n">
        <v>200000</v>
      </c>
      <c r="D12" s="11" t="n">
        <v>500000</v>
      </c>
      <c r="E12" s="11" t="n">
        <v>750000</v>
      </c>
      <c r="F12" s="11" t="n">
        <v>1000000</v>
      </c>
    </row>
    <row r="13">
      <c r="A13" t="inlineStr">
        <is>
          <t>Net New Devices</t>
        </is>
      </c>
      <c r="B13" s="11" t="n">
        <v>10000</v>
      </c>
      <c r="C13" s="11" t="n">
        <v>190000</v>
      </c>
      <c r="D13" s="11" t="n">
        <v>300000</v>
      </c>
      <c r="E13" s="11" t="n">
        <v>250000</v>
      </c>
      <c r="F13" s="11" t="n">
        <v>250000</v>
      </c>
    </row>
    <row r="14">
      <c r="A14" t="inlineStr">
        <is>
          <t>Annual Churn Rate</t>
        </is>
      </c>
      <c r="B14" s="9" t="n">
        <v>0.02</v>
      </c>
      <c r="C14" s="9" t="n">
        <v>0.02</v>
      </c>
      <c r="D14" s="9" t="n">
        <v>0.02</v>
      </c>
      <c r="E14" s="9" t="n">
        <v>0.02</v>
      </c>
      <c r="F14" s="9" t="n">
        <v>0.02</v>
      </c>
    </row>
    <row r="15">
      <c r="A15" t="inlineStr">
        <is>
          <t>Active Devices (End of Year)</t>
        </is>
      </c>
      <c r="B15" s="11">
        <f>B13</f>
        <v/>
      </c>
      <c r="C15" s="11">
        <f>B15*(1-C14)+C13</f>
        <v/>
      </c>
      <c r="D15" s="11">
        <f>C15*(1-D14)+D13</f>
        <v/>
      </c>
      <c r="E15" s="11">
        <f>D15*(1-E14)+E13</f>
        <v/>
      </c>
      <c r="F15" s="11">
        <f>E15*(1-F14)+F13</f>
        <v/>
      </c>
    </row>
    <row r="17">
      <c r="A17" s="6" t="inlineStr">
        <is>
          <t>Revenue Layer Activation</t>
        </is>
      </c>
      <c r="B17" s="7" t="n"/>
      <c r="C17" s="7" t="n"/>
      <c r="D17" s="7" t="n"/>
      <c r="E17" s="7" t="n"/>
      <c r="F17" s="7" t="n"/>
    </row>
    <row r="18">
      <c r="A18" t="inlineStr"/>
      <c r="B18" s="4" t="inlineStr">
        <is>
          <t>Year 1</t>
        </is>
      </c>
      <c r="C18" s="4" t="inlineStr">
        <is>
          <t>Year 2</t>
        </is>
      </c>
      <c r="D18" s="4" t="inlineStr">
        <is>
          <t>Year 3</t>
        </is>
      </c>
      <c r="E18" s="4" t="inlineStr">
        <is>
          <t>Year 4</t>
        </is>
      </c>
      <c r="F18" s="4" t="inlineStr">
        <is>
          <t>Year 5</t>
        </is>
      </c>
    </row>
    <row r="19">
      <c r="A19" t="inlineStr">
        <is>
          <t>Hardware + Subscription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inlineStr">
        <is>
          <t>Data Licensing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</row>
    <row r="21">
      <c r="A21" t="inlineStr">
        <is>
          <t>Platform IP</t>
        </is>
      </c>
      <c r="B21" t="n">
        <v>0</v>
      </c>
      <c r="C21" t="n">
        <v>0</v>
      </c>
      <c r="D21" t="n">
        <v>1</v>
      </c>
      <c r="E21" t="n">
        <v>1</v>
      </c>
      <c r="F21" t="n">
        <v>1</v>
      </c>
    </row>
    <row r="23">
      <c r="A23" s="6" t="inlineStr">
        <is>
          <t>Weather Participation Rates</t>
        </is>
      </c>
      <c r="B23" s="7" t="n"/>
      <c r="C23" s="7" t="n"/>
      <c r="D23" s="7" t="n"/>
      <c r="E23" s="7" t="n"/>
      <c r="F23" s="7" t="n"/>
    </row>
    <row r="24">
      <c r="A24" t="inlineStr">
        <is>
          <t>Conservative</t>
        </is>
      </c>
      <c r="B24" s="9" t="n">
        <v>0.1</v>
      </c>
    </row>
    <row r="25">
      <c r="A25" t="inlineStr">
        <is>
          <t>Base</t>
        </is>
      </c>
      <c r="B25" s="9" t="n">
        <v>0.2</v>
      </c>
    </row>
    <row r="26">
      <c r="A26" t="inlineStr">
        <is>
          <t>Optimistic</t>
        </is>
      </c>
      <c r="B26" s="9" t="n">
        <v>0.3</v>
      </c>
    </row>
    <row r="28">
      <c r="A28" s="6" t="inlineStr">
        <is>
          <t>Data Licensing</t>
        </is>
      </c>
      <c r="B28" s="7" t="n"/>
      <c r="C28" s="7" t="n"/>
      <c r="D28" s="7" t="n"/>
      <c r="E28" s="7" t="n"/>
      <c r="F28" s="7" t="n"/>
    </row>
    <row r="29">
      <c r="A29" t="inlineStr">
        <is>
          <t>Addressable TAM at Scale ($)</t>
        </is>
      </c>
      <c r="B29" s="8" t="n">
        <v>60000000</v>
      </c>
    </row>
    <row r="30">
      <c r="A30" t="inlineStr">
        <is>
          <t>Data Licensing per Device/yr (Base, $)</t>
        </is>
      </c>
      <c r="B30" s="8" t="n">
        <v>15</v>
      </c>
    </row>
    <row r="31">
      <c r="A31" t="inlineStr">
        <is>
          <t>Revenue Share to Ranchers</t>
        </is>
      </c>
      <c r="B31" s="9" t="n">
        <v>0.15</v>
      </c>
    </row>
    <row r="33">
      <c r="A33" s="6" t="inlineStr">
        <is>
          <t>Platform IP Licensing</t>
        </is>
      </c>
      <c r="B33" s="7" t="n"/>
      <c r="C33" s="7" t="n"/>
      <c r="D33" s="7" t="n"/>
      <c r="E33" s="7" t="n"/>
      <c r="F33" s="7" t="n"/>
    </row>
    <row r="34">
      <c r="A34" t="inlineStr">
        <is>
          <t>IP License Deals Y3</t>
        </is>
      </c>
      <c r="B34" t="n">
        <v>2</v>
      </c>
    </row>
    <row r="35">
      <c r="A35" t="inlineStr">
        <is>
          <t>IP License Deals Y4</t>
        </is>
      </c>
      <c r="B35" t="n">
        <v>5</v>
      </c>
    </row>
    <row r="36">
      <c r="A36" t="inlineStr">
        <is>
          <t>IP License Deals Y5</t>
        </is>
      </c>
      <c r="B36" t="n">
        <v>12</v>
      </c>
    </row>
    <row r="37">
      <c r="A37" t="inlineStr">
        <is>
          <t>Avg Deal Size ($)</t>
        </is>
      </c>
      <c r="B37" s="8" t="n">
        <v>0</v>
      </c>
      <c r="C37" s="8" t="n">
        <v>0</v>
      </c>
      <c r="D37" s="8" t="n">
        <v>500000</v>
      </c>
      <c r="E37" s="8" t="n">
        <v>1000000</v>
      </c>
      <c r="F37" s="8" t="n">
        <v>2000000</v>
      </c>
    </row>
    <row r="38">
      <c r="A38" t="inlineStr">
        <is>
          <t>IP Deals by Year</t>
        </is>
      </c>
      <c r="B38" t="n">
        <v>0</v>
      </c>
      <c r="C38" t="n">
        <v>0</v>
      </c>
      <c r="D38" t="n">
        <v>2</v>
      </c>
      <c r="E38" t="n">
        <v>5</v>
      </c>
      <c r="F38" t="n">
        <v>12</v>
      </c>
    </row>
    <row r="39">
      <c r="A39" s="6" t="inlineStr">
        <is>
          <t>Operating Expenses</t>
        </is>
      </c>
      <c r="B39" s="7" t="n"/>
      <c r="C39" s="7" t="n"/>
      <c r="D39" s="7" t="n"/>
      <c r="E39" s="7" t="n"/>
      <c r="F39" s="7" t="n"/>
    </row>
    <row r="40">
      <c r="A40" t="inlineStr"/>
      <c r="B40" s="4" t="inlineStr">
        <is>
          <t>Year 1</t>
        </is>
      </c>
      <c r="C40" s="4" t="inlineStr">
        <is>
          <t>Year 2</t>
        </is>
      </c>
      <c r="D40" s="4" t="inlineStr">
        <is>
          <t>Year 3</t>
        </is>
      </c>
      <c r="E40" s="4" t="inlineStr">
        <is>
          <t>Year 4</t>
        </is>
      </c>
      <c r="F40" s="4" t="inlineStr">
        <is>
          <t>Year 5</t>
        </is>
      </c>
    </row>
    <row r="41">
      <c r="A41" t="inlineStr">
        <is>
          <t>Headcount</t>
        </is>
      </c>
      <c r="B41" s="11" t="n">
        <v>5</v>
      </c>
      <c r="C41" s="11" t="n">
        <v>12</v>
      </c>
      <c r="D41" s="11" t="n">
        <v>30</v>
      </c>
      <c r="E41" s="11" t="n">
        <v>60</v>
      </c>
      <c r="F41" s="11" t="n">
        <v>100</v>
      </c>
    </row>
    <row r="42">
      <c r="A42" t="inlineStr">
        <is>
          <t>Avg Salary ($)</t>
        </is>
      </c>
      <c r="B42" s="8" t="n">
        <v>120000</v>
      </c>
      <c r="C42" s="8" t="n">
        <v>126000</v>
      </c>
      <c r="D42" s="8" t="n">
        <v>132300</v>
      </c>
      <c r="E42" s="8" t="n">
        <v>138915</v>
      </c>
      <c r="F42" s="8" t="n">
        <v>145861</v>
      </c>
    </row>
    <row r="43">
      <c r="A43" t="inlineStr">
        <is>
          <t>Total People Cost ($)</t>
        </is>
      </c>
      <c r="B43" s="8">
        <f>B41*B42*1.3</f>
        <v/>
      </c>
      <c r="C43" s="8">
        <f>C41*C42*1.3</f>
        <v/>
      </c>
      <c r="D43" s="8">
        <f>D41*D42*1.3</f>
        <v/>
      </c>
      <c r="E43" s="8">
        <f>E41*E42*1.3</f>
        <v/>
      </c>
      <c r="F43" s="8">
        <f>F41*F42*1.3</f>
        <v/>
      </c>
    </row>
    <row r="44">
      <c r="A44" t="inlineStr">
        <is>
          <t>R&amp;D % of Revenue</t>
        </is>
      </c>
      <c r="B44" s="9" t="n">
        <v>0.4</v>
      </c>
      <c r="C44" s="9" t="n">
        <v>0.35</v>
      </c>
      <c r="D44" s="9" t="n">
        <v>0.3</v>
      </c>
      <c r="E44" s="9" t="n">
        <v>0.27</v>
      </c>
      <c r="F44" s="9" t="n">
        <v>0.25</v>
      </c>
    </row>
    <row r="45">
      <c r="A45" t="inlineStr">
        <is>
          <t>S&amp;M % of Revenue</t>
        </is>
      </c>
      <c r="B45" s="9" t="n">
        <v>0.15</v>
      </c>
      <c r="C45" s="9" t="n">
        <v>0.18</v>
      </c>
      <c r="D45" s="9" t="n">
        <v>0.2</v>
      </c>
      <c r="E45" s="9" t="n">
        <v>0.18</v>
      </c>
      <c r="F45" s="9" t="n">
        <v>0.15</v>
      </c>
    </row>
    <row r="46">
      <c r="A46" t="inlineStr">
        <is>
          <t>G&amp;A % of Revenue</t>
        </is>
      </c>
      <c r="B46" s="9" t="n">
        <v>0.15</v>
      </c>
      <c r="C46" s="9" t="n">
        <v>0.12</v>
      </c>
      <c r="D46" s="9" t="n">
        <v>0.1</v>
      </c>
      <c r="E46" s="9" t="n">
        <v>0.1</v>
      </c>
      <c r="F46" s="9" t="n">
        <v>0.1</v>
      </c>
    </row>
    <row r="49">
      <c r="A49" s="6" t="inlineStr">
        <is>
          <t>Fundraising</t>
        </is>
      </c>
      <c r="B49" s="7" t="n"/>
      <c r="C49" s="7" t="n"/>
      <c r="D49" s="7" t="n"/>
      <c r="E49" s="7" t="n"/>
      <c r="F49" s="7" t="n"/>
    </row>
    <row r="50">
      <c r="A50" s="4" t="inlineStr">
        <is>
          <t>Round</t>
        </is>
      </c>
      <c r="B50" s="4" t="inlineStr">
        <is>
          <t>Amount ($)</t>
        </is>
      </c>
      <c r="C50" s="4" t="inlineStr">
        <is>
          <t>Pre-money ($)</t>
        </is>
      </c>
      <c r="D50" s="4" t="inlineStr">
        <is>
          <t>Post-money ($)</t>
        </is>
      </c>
      <c r="E50" s="4" t="inlineStr">
        <is>
          <t>Timing</t>
        </is>
      </c>
    </row>
    <row r="51">
      <c r="A51" t="inlineStr">
        <is>
          <t>Seed</t>
        </is>
      </c>
      <c r="B51" s="8" t="n">
        <v>3500000</v>
      </c>
      <c r="C51" s="8" t="n">
        <v>15000000</v>
      </c>
      <c r="D51" s="8">
        <f>B51+C51</f>
        <v/>
      </c>
      <c r="E51" t="inlineStr">
        <is>
          <t>Y1</t>
        </is>
      </c>
    </row>
    <row r="52">
      <c r="A52" t="inlineStr">
        <is>
          <t>Series A</t>
        </is>
      </c>
      <c r="B52" s="8" t="n">
        <v>15000000</v>
      </c>
      <c r="C52" s="8" t="n">
        <v>75000000</v>
      </c>
      <c r="D52" s="8">
        <f>B52+C52</f>
        <v/>
      </c>
      <c r="E52" t="inlineStr">
        <is>
          <t>Y2</t>
        </is>
      </c>
    </row>
    <row r="53">
      <c r="A53" t="inlineStr">
        <is>
          <t>Series B</t>
        </is>
      </c>
      <c r="B53" s="8" t="n">
        <v>75000000</v>
      </c>
      <c r="C53" s="8" t="n">
        <v>400000000</v>
      </c>
      <c r="D53" s="8">
        <f>B53+C53</f>
        <v/>
      </c>
      <c r="E53" t="inlineStr">
        <is>
          <t>Y3</t>
        </is>
      </c>
    </row>
    <row r="57">
      <c r="A57" s="6" t="inlineStr">
        <is>
          <t>Margins by Stream</t>
        </is>
      </c>
      <c r="B57" s="7" t="n"/>
      <c r="C57" s="7" t="n"/>
      <c r="D57" s="7" t="n"/>
      <c r="E57" s="7" t="n"/>
      <c r="F57" s="7" t="n"/>
    </row>
    <row r="58">
      <c r="A58" t="inlineStr">
        <is>
          <t>Hardware + Sub Gross Margin</t>
        </is>
      </c>
      <c r="B58" s="9" t="n">
        <v>0.65</v>
      </c>
    </row>
    <row r="59">
      <c r="A59" t="inlineStr">
        <is>
          <t>Data Licensing Gross Margin</t>
        </is>
      </c>
      <c r="B59" s="9" t="n">
        <v>0.95</v>
      </c>
    </row>
    <row r="60">
      <c r="A60" t="inlineStr">
        <is>
          <t>Platform IP Gross Margin</t>
        </is>
      </c>
      <c r="B60" s="9" t="n">
        <v>0.9</v>
      </c>
    </row>
    <row r="61">
      <c r="A61" t="inlineStr">
        <is>
          <t>Weather Data Gross Margin</t>
        </is>
      </c>
      <c r="B61" s="9" t="n">
        <v>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Revenue Buildup</t>
        </is>
      </c>
    </row>
    <row r="2">
      <c r="A2" s="7" t="inlineStr"/>
      <c r="B2" s="7" t="inlineStr">
        <is>
          <t>Year 1</t>
        </is>
      </c>
      <c r="C2" s="7" t="inlineStr">
        <is>
          <t>Year 2</t>
        </is>
      </c>
      <c r="D2" s="7" t="inlineStr">
        <is>
          <t>Year 3</t>
        </is>
      </c>
      <c r="E2" s="7" t="inlineStr">
        <is>
          <t>Year 4</t>
        </is>
      </c>
      <c r="F2" s="7" t="inlineStr">
        <is>
          <t>Year 5</t>
        </is>
      </c>
    </row>
    <row r="3">
      <c r="A3" s="7" t="inlineStr">
        <is>
          <t>HARDWARE + SUBSCRIPTION</t>
        </is>
      </c>
      <c r="B3" s="7" t="n"/>
      <c r="C3" s="7" t="n"/>
      <c r="D3" s="7" t="n"/>
      <c r="E3" s="7" t="n"/>
      <c r="F3" s="7" t="n"/>
    </row>
    <row r="4">
      <c r="A4" t="inlineStr">
        <is>
          <t>Hardware Revenue</t>
        </is>
      </c>
      <c r="B4" s="8">
        <f>Assumptions!B13*Assumptions!B3*Assumptions!B19</f>
        <v/>
      </c>
      <c r="C4" s="8">
        <f>Assumptions!C13*Assumptions!B3*Assumptions!C19</f>
        <v/>
      </c>
      <c r="D4" s="8">
        <f>Assumptions!D13*Assumptions!B3*Assumptions!D19</f>
        <v/>
      </c>
      <c r="E4" s="8">
        <f>Assumptions!E13*Assumptions!B3*Assumptions!E19</f>
        <v/>
      </c>
      <c r="F4" s="8">
        <f>Assumptions!F13*Assumptions!B3*Assumptions!F19</f>
        <v/>
      </c>
    </row>
    <row r="5">
      <c r="A5" t="inlineStr">
        <is>
          <t>Subscription Revenue</t>
        </is>
      </c>
      <c r="B5" s="8">
        <f>Assumptions!B15*Assumptions!B4*Assumptions!B19</f>
        <v/>
      </c>
      <c r="C5" s="8">
        <f>Assumptions!C15*Assumptions!B4*Assumptions!C19</f>
        <v/>
      </c>
      <c r="D5" s="8">
        <f>Assumptions!D15*Assumptions!B4*Assumptions!D19</f>
        <v/>
      </c>
      <c r="E5" s="8">
        <f>Assumptions!E15*Assumptions!B4*Assumptions!E19</f>
        <v/>
      </c>
      <c r="F5" s="8">
        <f>Assumptions!F15*Assumptions!B4*Assumptions!F19</f>
        <v/>
      </c>
    </row>
    <row r="6">
      <c r="A6" s="4" t="inlineStr">
        <is>
          <t>Total H+S Revenue</t>
        </is>
      </c>
      <c r="B6" s="8">
        <f>B4+B5</f>
        <v/>
      </c>
      <c r="C6" s="8">
        <f>C4+C5</f>
        <v/>
      </c>
      <c r="D6" s="8">
        <f>D4+D5</f>
        <v/>
      </c>
      <c r="E6" s="8">
        <f>E4+E5</f>
        <v/>
      </c>
      <c r="F6" s="8">
        <f>F4+F5</f>
        <v/>
      </c>
    </row>
    <row r="8">
      <c r="A8" s="13" t="inlineStr"/>
    </row>
    <row r="9">
      <c r="A9" s="7" t="inlineStr">
        <is>
          <t>DATA LICENSING</t>
        </is>
      </c>
      <c r="B9" s="7" t="n"/>
      <c r="C9" s="7" t="n"/>
      <c r="D9" s="7" t="n"/>
      <c r="E9" s="7" t="n"/>
      <c r="F9" s="7" t="n"/>
    </row>
    <row r="10">
      <c r="A10" t="inlineStr"/>
    </row>
    <row r="11">
      <c r="A11" t="inlineStr">
        <is>
          <t>Eligible Devices</t>
        </is>
      </c>
      <c r="B11" s="11">
        <f>Assumptions!B15*Assumptions!B20</f>
        <v/>
      </c>
      <c r="C11" s="11">
        <f>Assumptions!C15*Assumptions!C20</f>
        <v/>
      </c>
      <c r="D11" s="11">
        <f>Assumptions!D15*Assumptions!D20</f>
        <v/>
      </c>
      <c r="E11" s="11">
        <f>Assumptions!E15*Assumptions!E20</f>
        <v/>
      </c>
      <c r="F11" s="11">
        <f>Assumptions!F15*Assumptions!F20</f>
        <v/>
      </c>
    </row>
    <row r="12">
      <c r="A12" t="inlineStr">
        <is>
          <t>Data Revenue (Gross)</t>
        </is>
      </c>
      <c r="B12" s="8">
        <f>B11*Assumptions!B30</f>
        <v/>
      </c>
      <c r="C12" s="8">
        <f>C11*Assumptions!B30</f>
        <v/>
      </c>
      <c r="D12" s="8">
        <f>D11*Assumptions!B30</f>
        <v/>
      </c>
      <c r="E12" s="8">
        <f>E11*Assumptions!B30</f>
        <v/>
      </c>
      <c r="F12" s="8">
        <f>F11*Assumptions!B30</f>
        <v/>
      </c>
    </row>
    <row r="13">
      <c r="A13" t="inlineStr">
        <is>
          <t>Rancher Revenue Share</t>
        </is>
      </c>
      <c r="B13" s="8">
        <f>B12*Assumptions!B31</f>
        <v/>
      </c>
      <c r="C13" s="8">
        <f>C12*Assumptions!B31</f>
        <v/>
      </c>
      <c r="D13" s="8">
        <f>D12*Assumptions!B31</f>
        <v/>
      </c>
      <c r="E13" s="8">
        <f>E12*Assumptions!B31</f>
        <v/>
      </c>
      <c r="F13" s="8">
        <f>F12*Assumptions!B31</f>
        <v/>
      </c>
    </row>
    <row r="14">
      <c r="A14" s="4" t="inlineStr">
        <is>
          <t>Net Data Revenue</t>
        </is>
      </c>
      <c r="B14" s="8">
        <f>B12-B13</f>
        <v/>
      </c>
      <c r="C14" s="8">
        <f>C12-C13</f>
        <v/>
      </c>
      <c r="D14" s="8">
        <f>D12-D13</f>
        <v/>
      </c>
      <c r="E14" s="8">
        <f>E12-E13</f>
        <v/>
      </c>
      <c r="F14" s="8">
        <f>F12-F13</f>
        <v/>
      </c>
    </row>
    <row r="16">
      <c r="A16" s="7" t="inlineStr">
        <is>
          <t>WEATHER DATA</t>
        </is>
      </c>
      <c r="B16" s="7" t="n"/>
      <c r="C16" s="7" t="n"/>
      <c r="D16" s="7" t="n"/>
      <c r="E16" s="7" t="n"/>
      <c r="F16" s="7" t="n"/>
    </row>
    <row r="17">
      <c r="A17" t="inlineStr">
        <is>
          <t>Weather-Active Devices</t>
        </is>
      </c>
      <c r="B17" s="11">
        <f>Assumptions!B15*Assumptions!B25</f>
        <v/>
      </c>
      <c r="C17" s="11">
        <f>Assumptions!C15*Assumptions!B25</f>
        <v/>
      </c>
      <c r="D17" s="11">
        <f>Assumptions!D15*Assumptions!B25</f>
        <v/>
      </c>
      <c r="E17" s="11">
        <f>Assumptions!E15*Assumptions!B25</f>
        <v/>
      </c>
      <c r="F17" s="11">
        <f>Assumptions!F15*Assumptions!B25</f>
        <v/>
      </c>
    </row>
    <row r="18">
      <c r="A18" t="inlineStr">
        <is>
          <t>Weather License Revenue</t>
        </is>
      </c>
      <c r="B18" s="8" t="n">
        <v>0</v>
      </c>
      <c r="C18" s="8" t="n">
        <v>8000000</v>
      </c>
      <c r="D18" s="8" t="n">
        <v>21500000</v>
      </c>
      <c r="E18" s="8" t="n">
        <v>35000000</v>
      </c>
      <c r="F18" s="8" t="n">
        <v>50000000</v>
      </c>
    </row>
    <row r="19">
      <c r="A19" t="inlineStr">
        <is>
          <t>Ground Truth Premium</t>
        </is>
      </c>
      <c r="B19" s="8">
        <f>B18*0.25</f>
        <v/>
      </c>
      <c r="C19" s="8">
        <f>C18*0.25</f>
        <v/>
      </c>
      <c r="D19" s="8">
        <f>D18*0.25</f>
        <v/>
      </c>
      <c r="E19" s="8">
        <f>E18*0.25</f>
        <v/>
      </c>
      <c r="F19" s="8">
        <f>F18*0.25</f>
        <v/>
      </c>
    </row>
    <row r="20">
      <c r="A20" s="4" t="inlineStr">
        <is>
          <t>Total Weather Revenue</t>
        </is>
      </c>
      <c r="B20" s="8">
        <f>B18+B19</f>
        <v/>
      </c>
      <c r="C20" s="8">
        <f>C18+C19</f>
        <v/>
      </c>
      <c r="D20" s="8">
        <f>D18+D19</f>
        <v/>
      </c>
      <c r="E20" s="8">
        <f>E18+E19</f>
        <v/>
      </c>
      <c r="F20" s="8">
        <f>F18+F19</f>
        <v/>
      </c>
    </row>
    <row r="22">
      <c r="A22" s="7" t="inlineStr">
        <is>
          <t>PLATFORM IP LICENSING</t>
        </is>
      </c>
      <c r="B22" s="7" t="n"/>
      <c r="C22" s="7" t="n"/>
      <c r="D22" s="7" t="n"/>
      <c r="E22" s="7" t="n"/>
      <c r="F22" s="7" t="n"/>
    </row>
    <row r="23">
      <c r="A23" t="inlineStr">
        <is>
          <t>License Deals</t>
        </is>
      </c>
      <c r="B23" s="11">
        <f>Assumptions!B38</f>
        <v/>
      </c>
      <c r="C23" s="11">
        <f>Assumptions!C38</f>
        <v/>
      </c>
      <c r="D23" s="11">
        <f>Assumptions!D38</f>
        <v/>
      </c>
      <c r="E23" s="11">
        <f>Assumptions!E38</f>
        <v/>
      </c>
      <c r="F23" s="11">
        <f>Assumptions!F38</f>
        <v/>
      </c>
    </row>
    <row r="24">
      <c r="A24" s="4" t="inlineStr">
        <is>
          <t>Platform IP Revenue</t>
        </is>
      </c>
      <c r="B24" s="8">
        <f>B23*Assumptions!B37*Assumptions!B21</f>
        <v/>
      </c>
      <c r="C24" s="8">
        <f>C23*Assumptions!C37*Assumptions!C21</f>
        <v/>
      </c>
      <c r="D24" s="8">
        <f>D23*Assumptions!D37*Assumptions!D21</f>
        <v/>
      </c>
      <c r="E24" s="8">
        <f>E23*Assumptions!E37*Assumptions!E21</f>
        <v/>
      </c>
      <c r="F24" s="8">
        <f>F23*Assumptions!F37*Assumptions!F21</f>
        <v/>
      </c>
    </row>
    <row r="26">
      <c r="A26" t="inlineStr"/>
    </row>
    <row r="27">
      <c r="A27" t="inlineStr"/>
    </row>
    <row r="28">
      <c r="A28" s="7" t="inlineStr">
        <is>
          <t>TOTAL REVENUE</t>
        </is>
      </c>
      <c r="B28" s="14">
        <f>B6+B14+B20+B24</f>
        <v/>
      </c>
      <c r="C28" s="14">
        <f>C6+C14+C20+C24</f>
        <v/>
      </c>
      <c r="D28" s="14">
        <f>D6+D14+D20+D24</f>
        <v/>
      </c>
      <c r="E28" s="14">
        <f>E6+E14+E20+E24</f>
        <v/>
      </c>
      <c r="F28" s="14">
        <f>F6+F14+F20+F24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Profit &amp; Loss</t>
        </is>
      </c>
    </row>
    <row r="2">
      <c r="A2" s="7" t="inlineStr"/>
      <c r="B2" s="7" t="inlineStr">
        <is>
          <t>Year 1</t>
        </is>
      </c>
      <c r="C2" s="7" t="inlineStr">
        <is>
          <t>Year 2</t>
        </is>
      </c>
      <c r="D2" s="7" t="inlineStr">
        <is>
          <t>Year 3</t>
        </is>
      </c>
      <c r="E2" s="7" t="inlineStr">
        <is>
          <t>Year 4</t>
        </is>
      </c>
      <c r="F2" s="7" t="inlineStr">
        <is>
          <t>Year 5</t>
        </is>
      </c>
    </row>
    <row r="3">
      <c r="A3" s="4" t="inlineStr">
        <is>
          <t>Total Revenue</t>
        </is>
      </c>
      <c r="B3" s="8">
        <f>'Revenue Buildup'!B28</f>
        <v/>
      </c>
      <c r="C3" s="8">
        <f>'Revenue Buildup'!C28</f>
        <v/>
      </c>
      <c r="D3" s="8">
        <f>'Revenue Buildup'!D28</f>
        <v/>
      </c>
      <c r="E3" s="8">
        <f>'Revenue Buildup'!E28</f>
        <v/>
      </c>
      <c r="F3" s="8">
        <f>'Revenue Buildup'!F28</f>
        <v/>
      </c>
    </row>
    <row r="4">
      <c r="A4" s="13" t="inlineStr"/>
    </row>
    <row r="5">
      <c r="A5" t="inlineStr">
        <is>
          <t>Hardware COGS</t>
        </is>
      </c>
      <c r="B5" s="8">
        <f>Assumptions!B13*Assumptions!B5</f>
        <v/>
      </c>
      <c r="C5" s="8">
        <f>Assumptions!C13*Assumptions!B5</f>
        <v/>
      </c>
      <c r="D5" s="8">
        <f>Assumptions!D13*Assumptions!B5</f>
        <v/>
      </c>
      <c r="E5" s="8">
        <f>Assumptions!E13*Assumptions!B5</f>
        <v/>
      </c>
      <c r="F5" s="8">
        <f>Assumptions!F13*Assumptions!B5</f>
        <v/>
      </c>
    </row>
    <row r="6">
      <c r="A6" t="inlineStr">
        <is>
          <t>Subscription COGS</t>
        </is>
      </c>
      <c r="B6" s="8">
        <f>Assumptions!B15*Assumptions!B6</f>
        <v/>
      </c>
      <c r="C6" s="8">
        <f>Assumptions!C15*Assumptions!B6</f>
        <v/>
      </c>
      <c r="D6" s="8">
        <f>Assumptions!D15*Assumptions!B6</f>
        <v/>
      </c>
      <c r="E6" s="8">
        <f>Assumptions!E15*Assumptions!B6</f>
        <v/>
      </c>
      <c r="F6" s="8">
        <f>Assumptions!F15*Assumptions!B6</f>
        <v/>
      </c>
    </row>
    <row r="7">
      <c r="A7" t="inlineStr">
        <is>
          <t>Data COGS</t>
        </is>
      </c>
      <c r="B7" s="8">
        <f>'Revenue Buildup'!B14*(1-Assumptions!B59)</f>
        <v/>
      </c>
      <c r="C7" s="8">
        <f>'Revenue Buildup'!C14*(1-Assumptions!B59)</f>
        <v/>
      </c>
      <c r="D7" s="8">
        <f>'Revenue Buildup'!D14*(1-Assumptions!B59)</f>
        <v/>
      </c>
      <c r="E7" s="8">
        <f>'Revenue Buildup'!E14*(1-Assumptions!B59)</f>
        <v/>
      </c>
      <c r="F7" s="8">
        <f>'Revenue Buildup'!F14*(1-Assumptions!B59)</f>
        <v/>
      </c>
    </row>
    <row r="8">
      <c r="A8" t="inlineStr">
        <is>
          <t>Weather COGS</t>
        </is>
      </c>
      <c r="B8" s="8">
        <f>'Revenue Buildup'!B20*(1-Assumptions!B61)</f>
        <v/>
      </c>
      <c r="C8" s="8">
        <f>'Revenue Buildup'!C20*(1-Assumptions!B61)</f>
        <v/>
      </c>
      <c r="D8" s="8">
        <f>'Revenue Buildup'!D20*(1-Assumptions!B61)</f>
        <v/>
      </c>
      <c r="E8" s="8">
        <f>'Revenue Buildup'!E20*(1-Assumptions!B61)</f>
        <v/>
      </c>
      <c r="F8" s="8">
        <f>'Revenue Buildup'!F20*(1-Assumptions!B61)</f>
        <v/>
      </c>
    </row>
    <row r="9">
      <c r="A9" t="inlineStr">
        <is>
          <t>Platform COGS</t>
        </is>
      </c>
      <c r="B9" s="8">
        <f>'Revenue Buildup'!B24*(1-Assumptions!B60)</f>
        <v/>
      </c>
      <c r="C9" s="8">
        <f>'Revenue Buildup'!C24*(1-Assumptions!B60)</f>
        <v/>
      </c>
      <c r="D9" s="8">
        <f>'Revenue Buildup'!D24*(1-Assumptions!B60)</f>
        <v/>
      </c>
      <c r="E9" s="8">
        <f>'Revenue Buildup'!E24*(1-Assumptions!B60)</f>
        <v/>
      </c>
      <c r="F9" s="8">
        <f>'Revenue Buildup'!F24*(1-Assumptions!B60)</f>
        <v/>
      </c>
    </row>
    <row r="10">
      <c r="A10" s="4" t="inlineStr">
        <is>
          <t>Total COGS</t>
        </is>
      </c>
      <c r="B10" s="8">
        <f>B5+B6+B7+B8+B9</f>
        <v/>
      </c>
      <c r="C10" s="8">
        <f>C5+C6+C7+C8+C9</f>
        <v/>
      </c>
      <c r="D10" s="8">
        <f>D5+D6+D7+D8+D9</f>
        <v/>
      </c>
      <c r="E10" s="8">
        <f>E5+E6+E7+E8+E9</f>
        <v/>
      </c>
      <c r="F10" s="8">
        <f>F5+F6+F7+F8+F9</f>
        <v/>
      </c>
    </row>
    <row r="11">
      <c r="A11" t="inlineStr"/>
    </row>
    <row r="12">
      <c r="A12" s="15" t="inlineStr">
        <is>
          <t>Gross Profit</t>
        </is>
      </c>
      <c r="B12" s="8">
        <f>B3-B10</f>
        <v/>
      </c>
      <c r="C12" s="8">
        <f>C3-C10</f>
        <v/>
      </c>
      <c r="D12" s="8">
        <f>D3-D10</f>
        <v/>
      </c>
      <c r="E12" s="8">
        <f>E3-E10</f>
        <v/>
      </c>
      <c r="F12" s="8">
        <f>F3-F10</f>
        <v/>
      </c>
    </row>
    <row r="13">
      <c r="A13" t="inlineStr">
        <is>
          <t>Gross Margin %</t>
        </is>
      </c>
      <c r="B13" s="9">
        <f>IF(B3=0,0,B12/B3)</f>
        <v/>
      </c>
      <c r="C13" s="9">
        <f>IF(C3=0,0,C12/C3)</f>
        <v/>
      </c>
      <c r="D13" s="9">
        <f>IF(D3=0,0,D12/D3)</f>
        <v/>
      </c>
      <c r="E13" s="9">
        <f>IF(E3=0,0,E12/E3)</f>
        <v/>
      </c>
      <c r="F13" s="9">
        <f>IF(F3=0,0,F12/F3)</f>
        <v/>
      </c>
    </row>
    <row r="14">
      <c r="A14" t="inlineStr"/>
    </row>
    <row r="15">
      <c r="A15" t="inlineStr">
        <is>
          <t>R&amp;D Expense</t>
        </is>
      </c>
      <c r="B15" s="8">
        <f>MAX(B3*Assumptions!B44, Assumptions!B43*0.6)</f>
        <v/>
      </c>
      <c r="C15" s="8">
        <f>MAX(C3*Assumptions!C44, Assumptions!C43*0.6)</f>
        <v/>
      </c>
      <c r="D15" s="8">
        <f>MAX(D3*Assumptions!D44, Assumptions!D43*0.6)</f>
        <v/>
      </c>
      <c r="E15" s="8">
        <f>MAX(E3*Assumptions!E44, Assumptions!E43*0.6)</f>
        <v/>
      </c>
      <c r="F15" s="8">
        <f>MAX(F3*Assumptions!F44, Assumptions!F43*0.6)</f>
        <v/>
      </c>
    </row>
    <row r="16">
      <c r="A16" t="inlineStr">
        <is>
          <t>Sales &amp; Marketing</t>
        </is>
      </c>
      <c r="B16" s="8">
        <f>B3*Assumptions!B45</f>
        <v/>
      </c>
      <c r="C16" s="8">
        <f>C3*Assumptions!C45</f>
        <v/>
      </c>
      <c r="D16" s="8">
        <f>D3*Assumptions!D45</f>
        <v/>
      </c>
      <c r="E16" s="8">
        <f>E3*Assumptions!E45</f>
        <v/>
      </c>
      <c r="F16" s="8">
        <f>F3*Assumptions!F45</f>
        <v/>
      </c>
    </row>
    <row r="17">
      <c r="A17" t="inlineStr">
        <is>
          <t>G&amp;A Expense</t>
        </is>
      </c>
      <c r="B17" s="8">
        <f>B3*Assumptions!B46</f>
        <v/>
      </c>
      <c r="C17" s="8">
        <f>C3*Assumptions!C46</f>
        <v/>
      </c>
      <c r="D17" s="8">
        <f>D3*Assumptions!D46</f>
        <v/>
      </c>
      <c r="E17" s="8">
        <f>E3*Assumptions!E46</f>
        <v/>
      </c>
      <c r="F17" s="8">
        <f>F3*Assumptions!F46</f>
        <v/>
      </c>
    </row>
    <row r="18">
      <c r="A18" s="4" t="inlineStr">
        <is>
          <t>Total OpEx</t>
        </is>
      </c>
      <c r="B18" s="8">
        <f>B15+B16+B17</f>
        <v/>
      </c>
      <c r="C18" s="8">
        <f>C15+C16+C17</f>
        <v/>
      </c>
      <c r="D18" s="8">
        <f>D15+D16+D17</f>
        <v/>
      </c>
      <c r="E18" s="8">
        <f>E15+E16+E17</f>
        <v/>
      </c>
      <c r="F18" s="8">
        <f>F15+F16+F17</f>
        <v/>
      </c>
    </row>
    <row r="19">
      <c r="A19" t="inlineStr"/>
    </row>
    <row r="20">
      <c r="A20" s="15" t="inlineStr">
        <is>
          <t>EBITDA</t>
        </is>
      </c>
      <c r="B20" s="8">
        <f>B12-B18</f>
        <v/>
      </c>
      <c r="C20" s="8">
        <f>C12-C18</f>
        <v/>
      </c>
      <c r="D20" s="8">
        <f>D12-D18</f>
        <v/>
      </c>
      <c r="E20" s="8">
        <f>E12-E18</f>
        <v/>
      </c>
      <c r="F20" s="8">
        <f>F12-F18</f>
        <v/>
      </c>
    </row>
    <row r="21">
      <c r="A21" t="inlineStr">
        <is>
          <t>EBITDA Margin %</t>
        </is>
      </c>
      <c r="B21" s="9">
        <f>IF(B3=0,0,B20/B3)</f>
        <v/>
      </c>
      <c r="C21" s="9">
        <f>IF(C3=0,0,C20/C3)</f>
        <v/>
      </c>
      <c r="D21" s="9">
        <f>IF(D3=0,0,D20/D3)</f>
        <v/>
      </c>
      <c r="E21" s="9">
        <f>IF(E3=0,0,E20/E3)</f>
        <v/>
      </c>
      <c r="F21" s="9">
        <f>IF(F3=0,0,F20/F3)</f>
        <v/>
      </c>
    </row>
    <row r="22">
      <c r="A22" t="inlineStr"/>
    </row>
    <row r="23">
      <c r="A23" t="inlineStr">
        <is>
          <t>Depreciation &amp; Amortization</t>
        </is>
      </c>
      <c r="B23" s="8" t="n">
        <v>100000</v>
      </c>
      <c r="C23" s="8" t="n">
        <v>300000</v>
      </c>
      <c r="D23" s="8" t="n">
        <v>500000</v>
      </c>
      <c r="E23" s="8" t="n">
        <v>750000</v>
      </c>
      <c r="F23" s="8" t="n">
        <v>1000000</v>
      </c>
    </row>
    <row r="24">
      <c r="A24" s="15" t="inlineStr">
        <is>
          <t>Net Income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Unit Economics</t>
        </is>
      </c>
    </row>
    <row r="2">
      <c r="A2" s="7" t="inlineStr"/>
      <c r="B2" s="7" t="inlineStr">
        <is>
          <t>Year 1</t>
        </is>
      </c>
      <c r="C2" s="7" t="inlineStr">
        <is>
          <t>Year 2</t>
        </is>
      </c>
      <c r="D2" s="7" t="inlineStr">
        <is>
          <t>Year 3</t>
        </is>
      </c>
      <c r="E2" s="7" t="inlineStr">
        <is>
          <t>Year 4</t>
        </is>
      </c>
      <c r="F2" s="7" t="inlineStr">
        <is>
          <t>Year 5</t>
        </is>
      </c>
    </row>
    <row r="3">
      <c r="A3" t="inlineStr">
        <is>
          <t>Revenue per Active Device</t>
        </is>
      </c>
      <c r="B3" s="8">
        <f>'P&amp;L'!B3/Assumptions!B15</f>
        <v/>
      </c>
      <c r="C3" s="8">
        <f>'P&amp;L'!C3/Assumptions!C15</f>
        <v/>
      </c>
      <c r="D3" s="8">
        <f>'P&amp;L'!D3/Assumptions!D15</f>
        <v/>
      </c>
      <c r="E3" s="8">
        <f>'P&amp;L'!E3/Assumptions!E15</f>
        <v/>
      </c>
      <c r="F3" s="8">
        <f>'P&amp;L'!F3/Assumptions!F15</f>
        <v/>
      </c>
    </row>
    <row r="4">
      <c r="A4" t="inlineStr">
        <is>
          <t>COGS per Active Device</t>
        </is>
      </c>
      <c r="B4" s="8">
        <f>'P&amp;L'!B10/Assumptions!B15</f>
        <v/>
      </c>
      <c r="C4" s="8">
        <f>'P&amp;L'!C10/Assumptions!C15</f>
        <v/>
      </c>
      <c r="D4" s="8">
        <f>'P&amp;L'!D10/Assumptions!D15</f>
        <v/>
      </c>
      <c r="E4" s="8">
        <f>'P&amp;L'!E10/Assumptions!E15</f>
        <v/>
      </c>
      <c r="F4" s="8">
        <f>'P&amp;L'!F10/Assumptions!F15</f>
        <v/>
      </c>
    </row>
    <row r="5">
      <c r="A5" s="4" t="inlineStr">
        <is>
          <t>Gross Profit per Device</t>
        </is>
      </c>
      <c r="B5" s="8">
        <f>B3-B4</f>
        <v/>
      </c>
      <c r="C5" s="8">
        <f>C3-C4</f>
        <v/>
      </c>
      <c r="D5" s="8">
        <f>D3-D4</f>
        <v/>
      </c>
      <c r="E5" s="8">
        <f>E3-E4</f>
        <v/>
      </c>
      <c r="F5" s="8">
        <f>F3-F4</f>
        <v/>
      </c>
    </row>
    <row r="6">
      <c r="A6" t="inlineStr">
        <is>
          <t>Total OpEx per Device</t>
        </is>
      </c>
      <c r="B6" s="8">
        <f>'P&amp;L'!B18/Assumptions!B15</f>
        <v/>
      </c>
      <c r="C6" s="8">
        <f>'P&amp;L'!C18/Assumptions!C15</f>
        <v/>
      </c>
      <c r="D6" s="8">
        <f>'P&amp;L'!D18/Assumptions!D15</f>
        <v/>
      </c>
      <c r="E6" s="8">
        <f>'P&amp;L'!E18/Assumptions!E15</f>
        <v/>
      </c>
      <c r="F6" s="8">
        <f>'P&amp;L'!F18/Assumptions!F15</f>
        <v/>
      </c>
    </row>
    <row r="7">
      <c r="A7" s="4" t="inlineStr">
        <is>
          <t>Contribution Margin per Device</t>
        </is>
      </c>
      <c r="B7" s="8">
        <f>B5-B6</f>
        <v/>
      </c>
      <c r="C7" s="8">
        <f>C5-C6</f>
        <v/>
      </c>
      <c r="D7" s="8">
        <f>D5-D6</f>
        <v/>
      </c>
      <c r="E7" s="8">
        <f>E5-E6</f>
        <v/>
      </c>
      <c r="F7" s="8">
        <f>F5-F6</f>
        <v/>
      </c>
    </row>
    <row r="8">
      <c r="A8" t="inlineStr"/>
    </row>
    <row r="9">
      <c r="A9" t="inlineStr">
        <is>
          <t>Implied Ranch Count (1000 hd avg)</t>
        </is>
      </c>
      <c r="B9" s="11">
        <f>Assumptions!B15/1000</f>
        <v/>
      </c>
      <c r="C9" s="11">
        <f>Assumptions!C15/1000</f>
        <v/>
      </c>
      <c r="D9" s="11">
        <f>Assumptions!D15/1000</f>
        <v/>
      </c>
      <c r="E9" s="11">
        <f>Assumptions!E15/1000</f>
        <v/>
      </c>
      <c r="F9" s="11">
        <f>Assumptions!F15/1000</f>
        <v/>
      </c>
    </row>
    <row r="10">
      <c r="A10" t="inlineStr">
        <is>
          <t>Revenue per Ranch</t>
        </is>
      </c>
      <c r="B10" s="8">
        <f>IF(B9=0,0,'P&amp;L'!B3/B9)</f>
        <v/>
      </c>
      <c r="C10" s="8">
        <f>IF(C9=0,0,'P&amp;L'!C3/C9)</f>
        <v/>
      </c>
      <c r="D10" s="8">
        <f>IF(D9=0,0,'P&amp;L'!D3/D9)</f>
        <v/>
      </c>
      <c r="E10" s="8">
        <f>IF(E9=0,0,'P&amp;L'!E3/E9)</f>
        <v/>
      </c>
      <c r="F10" s="8">
        <f>IF(F9=0,0,'P&amp;L'!F3/F9)</f>
        <v/>
      </c>
    </row>
    <row r="11">
      <c r="A11" t="inlineStr">
        <is>
          <t>LTV per Ranch (10yr)</t>
        </is>
      </c>
      <c r="B11" s="8">
        <f>B10*10*'P&amp;L'!B13</f>
        <v/>
      </c>
      <c r="C11" s="8">
        <f>C10*10*'P&amp;L'!C13</f>
        <v/>
      </c>
      <c r="D11" s="8">
        <f>D10*10*'P&amp;L'!D13</f>
        <v/>
      </c>
      <c r="E11" s="8">
        <f>E10*10*'P&amp;L'!E13</f>
        <v/>
      </c>
      <c r="F11" s="8">
        <f>F10*10*'P&amp;L'!F13</f>
        <v/>
      </c>
    </row>
    <row r="12">
      <c r="A12" t="inlineStr">
        <is>
          <t>Estimated CAC per Ranch</t>
        </is>
      </c>
      <c r="B12" s="8">
        <f>IF(Assumptions!B13=0,0,'P&amp;L'!B16/(Assumptions!B13/1000))</f>
        <v/>
      </c>
      <c r="C12" s="8">
        <f>IF(Assumptions!C13=0,0,'P&amp;L'!C16/(Assumptions!C13/1000))</f>
        <v/>
      </c>
      <c r="D12" s="8">
        <f>IF(Assumptions!D13=0,0,'P&amp;L'!D16/(Assumptions!D13/1000))</f>
        <v/>
      </c>
      <c r="E12" s="8">
        <f>IF(Assumptions!E13=0,0,'P&amp;L'!E16/(Assumptions!E13/1000))</f>
        <v/>
      </c>
      <c r="F12" s="8">
        <f>IF(Assumptions!F13=0,0,'P&amp;L'!F16/(Assumptions!F13/1000))</f>
        <v/>
      </c>
    </row>
    <row r="13">
      <c r="A13" s="4" t="inlineStr">
        <is>
          <t>LTV:CAC Ratio</t>
        </is>
      </c>
      <c r="B13" s="16">
        <f>IF(B12=0,0,B11/B12)</f>
        <v/>
      </c>
      <c r="C13" s="16">
        <f>IF(C12=0,0,C11/C12)</f>
        <v/>
      </c>
      <c r="D13" s="16">
        <f>IF(D12=0,0,D11/D12)</f>
        <v/>
      </c>
      <c r="E13" s="16">
        <f>IF(E12=0,0,E11/E12)</f>
        <v/>
      </c>
      <c r="F13" s="16">
        <f>IF(F12=0,0,F11/F12)</f>
        <v/>
      </c>
    </row>
    <row r="14">
      <c r="A14" t="inlineStr">
        <is>
          <t>Payback Period (months)</t>
        </is>
      </c>
      <c r="B14" s="17">
        <f>IF(B10=0,0,B12/((B10/12)*'P&amp;L'!B13))</f>
        <v/>
      </c>
      <c r="C14" s="17">
        <f>IF(C10=0,0,C12/((C10/12)*'P&amp;L'!C13))</f>
        <v/>
      </c>
      <c r="D14" s="17">
        <f>IF(D10=0,0,D12/((D10/12)*'P&amp;L'!D13))</f>
        <v/>
      </c>
      <c r="E14" s="17">
        <f>IF(E10=0,0,E12/((E10/12)*'P&amp;L'!E13))</f>
        <v/>
      </c>
      <c r="F14" s="17">
        <f>IF(F10=0,0,F12/((F10/12)*'P&amp;L'!F13))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R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2" t="inlineStr">
        <is>
          <t>Scenario Analysis</t>
        </is>
      </c>
    </row>
    <row r="2">
      <c r="B2" s="18" t="inlineStr">
        <is>
          <t>Conservative</t>
        </is>
      </c>
      <c r="C2" s="18" t="n"/>
      <c r="D2" s="18" t="n"/>
      <c r="E2" s="18" t="n"/>
      <c r="F2" s="18" t="n"/>
      <c r="H2" s="18" t="inlineStr">
        <is>
          <t>Base</t>
        </is>
      </c>
      <c r="I2" s="18" t="n"/>
      <c r="J2" s="18" t="n"/>
      <c r="K2" s="18" t="n"/>
      <c r="L2" s="18" t="n"/>
      <c r="N2" s="18" t="inlineStr">
        <is>
          <t>Optimistic</t>
        </is>
      </c>
      <c r="O2" s="18" t="n"/>
      <c r="P2" s="18" t="n"/>
      <c r="Q2" s="18" t="n"/>
      <c r="R2" s="18" t="n"/>
    </row>
    <row r="3"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  <c r="E3" s="4" t="inlineStr">
        <is>
          <t>Year 4</t>
        </is>
      </c>
      <c r="F3" s="4" t="inlineStr">
        <is>
          <t>Year 5</t>
        </is>
      </c>
      <c r="H3" s="4" t="inlineStr">
        <is>
          <t>Year 1</t>
        </is>
      </c>
      <c r="I3" s="4" t="inlineStr">
        <is>
          <t>Year 2</t>
        </is>
      </c>
      <c r="J3" s="4" t="inlineStr">
        <is>
          <t>Year 3</t>
        </is>
      </c>
      <c r="K3" s="4" t="inlineStr">
        <is>
          <t>Year 4</t>
        </is>
      </c>
      <c r="L3" s="4" t="inlineStr">
        <is>
          <t>Year 5</t>
        </is>
      </c>
      <c r="N3" s="4" t="inlineStr">
        <is>
          <t>Year 1</t>
        </is>
      </c>
      <c r="O3" s="4" t="inlineStr">
        <is>
          <t>Year 2</t>
        </is>
      </c>
      <c r="P3" s="4" t="inlineStr">
        <is>
          <t>Year 3</t>
        </is>
      </c>
      <c r="Q3" s="4" t="inlineStr">
        <is>
          <t>Year 4</t>
        </is>
      </c>
      <c r="R3" s="4" t="inlineStr">
        <is>
          <t>Year 5</t>
        </is>
      </c>
    </row>
    <row r="4">
      <c r="A4" t="inlineStr">
        <is>
          <t>Active Devices</t>
        </is>
      </c>
      <c r="B4" s="11">
        <f>Assumptions!B15*0.7</f>
        <v/>
      </c>
      <c r="C4" s="11">
        <f>Assumptions!C15*0.7</f>
        <v/>
      </c>
      <c r="D4" s="11">
        <f>Assumptions!D15*0.7</f>
        <v/>
      </c>
      <c r="E4" s="11">
        <f>Assumptions!E15*0.7</f>
        <v/>
      </c>
      <c r="F4" s="11">
        <f>Assumptions!F15*0.7</f>
        <v/>
      </c>
      <c r="H4" s="11">
        <f>Assumptions!B15*1.0</f>
        <v/>
      </c>
      <c r="I4" s="11">
        <f>Assumptions!C15*1.0</f>
        <v/>
      </c>
      <c r="J4" s="11">
        <f>Assumptions!D15*1.0</f>
        <v/>
      </c>
      <c r="K4" s="11">
        <f>Assumptions!E15*1.0</f>
        <v/>
      </c>
      <c r="L4" s="11">
        <f>Assumptions!F15*1.0</f>
        <v/>
      </c>
      <c r="N4" s="11">
        <f>Assumptions!B15*1.3</f>
        <v/>
      </c>
      <c r="O4" s="11">
        <f>Assumptions!C15*1.3</f>
        <v/>
      </c>
      <c r="P4" s="11">
        <f>Assumptions!D15*1.3</f>
        <v/>
      </c>
      <c r="Q4" s="11">
        <f>Assumptions!E15*1.3</f>
        <v/>
      </c>
      <c r="R4" s="11">
        <f>Assumptions!F15*1.3</f>
        <v/>
      </c>
    </row>
    <row r="5">
      <c r="A5" s="4" t="inlineStr">
        <is>
          <t>Total Revenue</t>
        </is>
      </c>
      <c r="B5" s="8">
        <f>'Revenue Buildup'!B6*0.7+'Revenue Buildup'!B14*0.7+'Revenue Buildup'!B20*(Assumptions!B24/Assumptions!B25)+'Revenue Buildup'!B24</f>
        <v/>
      </c>
      <c r="C5" s="8">
        <f>'Revenue Buildup'!C6*0.7+'Revenue Buildup'!C14*0.7+'Revenue Buildup'!C20*(Assumptions!B24/Assumptions!B25)+'Revenue Buildup'!C24</f>
        <v/>
      </c>
      <c r="D5" s="8">
        <f>'Revenue Buildup'!D6*0.7+'Revenue Buildup'!D14*0.7+'Revenue Buildup'!D20*(Assumptions!B24/Assumptions!B25)+'Revenue Buildup'!D24</f>
        <v/>
      </c>
      <c r="E5" s="8">
        <f>'Revenue Buildup'!E6*0.7+'Revenue Buildup'!E14*0.7+'Revenue Buildup'!E20*(Assumptions!B24/Assumptions!B25)+'Revenue Buildup'!E24</f>
        <v/>
      </c>
      <c r="F5" s="8">
        <f>'Revenue Buildup'!F6*0.7+'Revenue Buildup'!F14*0.7+'Revenue Buildup'!F20*(Assumptions!B24/Assumptions!B25)+'Revenue Buildup'!F24</f>
        <v/>
      </c>
      <c r="H5" s="8">
        <f>'Revenue Buildup'!B28</f>
        <v/>
      </c>
      <c r="I5" s="8">
        <f>'Revenue Buildup'!C28</f>
        <v/>
      </c>
      <c r="J5" s="8">
        <f>'Revenue Buildup'!D28</f>
        <v/>
      </c>
      <c r="K5" s="8">
        <f>'Revenue Buildup'!E28</f>
        <v/>
      </c>
      <c r="L5" s="8">
        <f>'Revenue Buildup'!F28</f>
        <v/>
      </c>
      <c r="N5" s="8">
        <f>'Revenue Buildup'!B6*1.3+'Revenue Buildup'!B14*1.3+'Revenue Buildup'!B20*(Assumptions!B26/Assumptions!B25)+'Revenue Buildup'!B24</f>
        <v/>
      </c>
      <c r="O5" s="8">
        <f>'Revenue Buildup'!C6*1.3+'Revenue Buildup'!C14*1.3+'Revenue Buildup'!C20*(Assumptions!B26/Assumptions!B25)+'Revenue Buildup'!C24</f>
        <v/>
      </c>
      <c r="P5" s="8">
        <f>'Revenue Buildup'!D6*1.3+'Revenue Buildup'!D14*1.3+'Revenue Buildup'!D20*(Assumptions!B26/Assumptions!B25)+'Revenue Buildup'!D24</f>
        <v/>
      </c>
      <c r="Q5" s="8">
        <f>'Revenue Buildup'!E6*1.3+'Revenue Buildup'!E14*1.3+'Revenue Buildup'!E20*(Assumptions!B26/Assumptions!B25)+'Revenue Buildup'!E24</f>
        <v/>
      </c>
      <c r="R5" s="8">
        <f>'Revenue Buildup'!F6*1.3+'Revenue Buildup'!F14*1.3+'Revenue Buildup'!F20*(Assumptions!B26/Assumptions!B25)+'Revenue Buildup'!F24</f>
        <v/>
      </c>
    </row>
    <row r="6">
      <c r="A6" t="inlineStr">
        <is>
          <t>Gross Profit</t>
        </is>
      </c>
      <c r="B6" s="8">
        <f>IF('P&amp;L'!B3=0,0,B5*('P&amp;L'!B12/'P&amp;L'!B3))</f>
        <v/>
      </c>
      <c r="C6" s="8">
        <f>IF('P&amp;L'!C3=0,0,C5*('P&amp;L'!C12/'P&amp;L'!C3))</f>
        <v/>
      </c>
      <c r="D6" s="8">
        <f>IF('P&amp;L'!D3=0,0,D5*('P&amp;L'!D12/'P&amp;L'!D3))</f>
        <v/>
      </c>
      <c r="E6" s="8">
        <f>IF('P&amp;L'!E3=0,0,E5*('P&amp;L'!E12/'P&amp;L'!E3))</f>
        <v/>
      </c>
      <c r="F6" s="8">
        <f>IF('P&amp;L'!F3=0,0,F5*('P&amp;L'!F12/'P&amp;L'!F3))</f>
        <v/>
      </c>
      <c r="H6" s="8">
        <f>IF('P&amp;L'!B3=0,0,H5*('P&amp;L'!B12/'P&amp;L'!B3))</f>
        <v/>
      </c>
      <c r="I6" s="8">
        <f>IF('P&amp;L'!C3=0,0,I5*('P&amp;L'!C12/'P&amp;L'!C3))</f>
        <v/>
      </c>
      <c r="J6" s="8">
        <f>IF('P&amp;L'!D3=0,0,J5*('P&amp;L'!D12/'P&amp;L'!D3))</f>
        <v/>
      </c>
      <c r="K6" s="8">
        <f>IF('P&amp;L'!E3=0,0,K5*('P&amp;L'!E12/'P&amp;L'!E3))</f>
        <v/>
      </c>
      <c r="L6" s="8">
        <f>IF('P&amp;L'!F3=0,0,L5*('P&amp;L'!F12/'P&amp;L'!F3))</f>
        <v/>
      </c>
      <c r="N6" s="8">
        <f>IF('P&amp;L'!B3=0,0,N5*('P&amp;L'!B12/'P&amp;L'!B3))</f>
        <v/>
      </c>
      <c r="O6" s="8">
        <f>IF('P&amp;L'!C3=0,0,O5*('P&amp;L'!C12/'P&amp;L'!C3))</f>
        <v/>
      </c>
      <c r="P6" s="8">
        <f>IF('P&amp;L'!D3=0,0,P5*('P&amp;L'!D12/'P&amp;L'!D3))</f>
        <v/>
      </c>
      <c r="Q6" s="8">
        <f>IF('P&amp;L'!E3=0,0,Q5*('P&amp;L'!E12/'P&amp;L'!E3))</f>
        <v/>
      </c>
      <c r="R6" s="8">
        <f>IF('P&amp;L'!F3=0,0,R5*('P&amp;L'!F12/'P&amp;L'!F3))</f>
        <v/>
      </c>
    </row>
    <row r="7">
      <c r="A7" s="4" t="inlineStr">
        <is>
          <t>EBITDA</t>
        </is>
      </c>
      <c r="B7" s="8">
        <f>IF('P&amp;L'!B3=0,0,B5*('P&amp;L'!B20/'P&amp;L'!B3))</f>
        <v/>
      </c>
      <c r="C7" s="8">
        <f>IF('P&amp;L'!C3=0,0,C5*('P&amp;L'!C20/'P&amp;L'!C3))</f>
        <v/>
      </c>
      <c r="D7" s="8">
        <f>IF('P&amp;L'!D3=0,0,D5*('P&amp;L'!D20/'P&amp;L'!D3))</f>
        <v/>
      </c>
      <c r="E7" s="8">
        <f>IF('P&amp;L'!E3=0,0,E5*('P&amp;L'!E20/'P&amp;L'!E3))</f>
        <v/>
      </c>
      <c r="F7" s="8">
        <f>IF('P&amp;L'!F3=0,0,F5*('P&amp;L'!F20/'P&amp;L'!F3))</f>
        <v/>
      </c>
      <c r="H7" s="8">
        <f>IF('P&amp;L'!B3=0,0,H5*('P&amp;L'!B20/'P&amp;L'!B3))</f>
        <v/>
      </c>
      <c r="I7" s="8">
        <f>IF('P&amp;L'!C3=0,0,I5*('P&amp;L'!C20/'P&amp;L'!C3))</f>
        <v/>
      </c>
      <c r="J7" s="8">
        <f>IF('P&amp;L'!D3=0,0,J5*('P&amp;L'!D20/'P&amp;L'!D3))</f>
        <v/>
      </c>
      <c r="K7" s="8">
        <f>IF('P&amp;L'!E3=0,0,K5*('P&amp;L'!E20/'P&amp;L'!E3))</f>
        <v/>
      </c>
      <c r="L7" s="8">
        <f>IF('P&amp;L'!F3=0,0,L5*('P&amp;L'!F20/'P&amp;L'!F3))</f>
        <v/>
      </c>
      <c r="N7" s="8">
        <f>IF('P&amp;L'!B3=0,0,N5*('P&amp;L'!B20/'P&amp;L'!B3))</f>
        <v/>
      </c>
      <c r="O7" s="8">
        <f>IF('P&amp;L'!C3=0,0,O5*('P&amp;L'!C20/'P&amp;L'!C3))</f>
        <v/>
      </c>
      <c r="P7" s="8">
        <f>IF('P&amp;L'!D3=0,0,P5*('P&amp;L'!D20/'P&amp;L'!D3))</f>
        <v/>
      </c>
      <c r="Q7" s="8">
        <f>IF('P&amp;L'!E3=0,0,Q5*('P&amp;L'!E20/'P&amp;L'!E3))</f>
        <v/>
      </c>
      <c r="R7" s="8">
        <f>IF('P&amp;L'!F3=0,0,R5*('P&amp;L'!F20/'P&amp;L'!F3))</f>
        <v/>
      </c>
    </row>
    <row r="8">
      <c r="A8" t="inlineStr">
        <is>
          <t>Net Income</t>
        </is>
      </c>
      <c r="B8" s="8">
        <f>IF('P&amp;L'!B3=0,0,B5*('P&amp;L'!B24/'P&amp;L'!B3))</f>
        <v/>
      </c>
      <c r="C8" s="8">
        <f>IF('P&amp;L'!C3=0,0,C5*('P&amp;L'!C24/'P&amp;L'!C3))</f>
        <v/>
      </c>
      <c r="D8" s="8">
        <f>IF('P&amp;L'!D3=0,0,D5*('P&amp;L'!D24/'P&amp;L'!D3))</f>
        <v/>
      </c>
      <c r="E8" s="8">
        <f>IF('P&amp;L'!E3=0,0,E5*('P&amp;L'!E24/'P&amp;L'!E3))</f>
        <v/>
      </c>
      <c r="F8" s="8">
        <f>IF('P&amp;L'!F3=0,0,F5*('P&amp;L'!F24/'P&amp;L'!F3))</f>
        <v/>
      </c>
      <c r="H8" s="8">
        <f>IF('P&amp;L'!B3=0,0,H5*('P&amp;L'!B24/'P&amp;L'!B3))</f>
        <v/>
      </c>
      <c r="I8" s="8">
        <f>IF('P&amp;L'!C3=0,0,I5*('P&amp;L'!C24/'P&amp;L'!C3))</f>
        <v/>
      </c>
      <c r="J8" s="8">
        <f>IF('P&amp;L'!D3=0,0,J5*('P&amp;L'!D24/'P&amp;L'!D3))</f>
        <v/>
      </c>
      <c r="K8" s="8">
        <f>IF('P&amp;L'!E3=0,0,K5*('P&amp;L'!E24/'P&amp;L'!E3))</f>
        <v/>
      </c>
      <c r="L8" s="8">
        <f>IF('P&amp;L'!F3=0,0,L5*('P&amp;L'!F24/'P&amp;L'!F3))</f>
        <v/>
      </c>
      <c r="N8" s="8">
        <f>IF('P&amp;L'!B3=0,0,N5*('P&amp;L'!B24/'P&amp;L'!B3))</f>
        <v/>
      </c>
      <c r="O8" s="8">
        <f>IF('P&amp;L'!C3=0,0,O5*('P&amp;L'!C24/'P&amp;L'!C3))</f>
        <v/>
      </c>
      <c r="P8" s="8">
        <f>IF('P&amp;L'!D3=0,0,P5*('P&amp;L'!D24/'P&amp;L'!D3))</f>
        <v/>
      </c>
      <c r="Q8" s="8">
        <f>IF('P&amp;L'!E3=0,0,Q5*('P&amp;L'!E24/'P&amp;L'!E3))</f>
        <v/>
      </c>
      <c r="R8" s="8">
        <f>IF('P&amp;L'!F3=0,0,R5*('P&amp;L'!F24/'P&amp;L'!F3))</f>
        <v/>
      </c>
    </row>
    <row r="9">
      <c r="A9" t="inlineStr">
        <is>
          <t>Gross Margin %</t>
        </is>
      </c>
      <c r="B9" s="9">
        <f>IF(B5=0,0,B6/B5)</f>
        <v/>
      </c>
      <c r="C9" s="9">
        <f>IF(C5=0,0,C6/C5)</f>
        <v/>
      </c>
      <c r="D9" s="9">
        <f>IF(D5=0,0,D6/D5)</f>
        <v/>
      </c>
      <c r="E9" s="9">
        <f>IF(E5=0,0,E6/E5)</f>
        <v/>
      </c>
      <c r="F9" s="9">
        <f>IF(F5=0,0,F6/F5)</f>
        <v/>
      </c>
      <c r="H9" s="9">
        <f>IF(H5=0,0,H6/H5)</f>
        <v/>
      </c>
      <c r="I9" s="9">
        <f>IF(I5=0,0,I6/I5)</f>
        <v/>
      </c>
      <c r="J9" s="9">
        <f>IF(J5=0,0,J6/J5)</f>
        <v/>
      </c>
      <c r="K9" s="9">
        <f>IF(K5=0,0,K6/K5)</f>
        <v/>
      </c>
      <c r="L9" s="9">
        <f>IF(L5=0,0,L6/L5)</f>
        <v/>
      </c>
      <c r="N9" s="9">
        <f>IF(N5=0,0,N6/N5)</f>
        <v/>
      </c>
      <c r="O9" s="9">
        <f>IF(O5=0,0,O6/O5)</f>
        <v/>
      </c>
      <c r="P9" s="9">
        <f>IF(P5=0,0,P6/P5)</f>
        <v/>
      </c>
      <c r="Q9" s="9">
        <f>IF(Q5=0,0,Q6/Q5)</f>
        <v/>
      </c>
      <c r="R9" s="9">
        <f>IF(R5=0,0,R6/R5)</f>
        <v/>
      </c>
    </row>
    <row r="10">
      <c r="A10" t="inlineStr">
        <is>
          <t>EBITDA Margin %</t>
        </is>
      </c>
      <c r="B10" s="9">
        <f>IF(B5=0,0,B7/B5)</f>
        <v/>
      </c>
      <c r="C10" s="9">
        <f>IF(C5=0,0,C7/C5)</f>
        <v/>
      </c>
      <c r="D10" s="9">
        <f>IF(D5=0,0,D7/D5)</f>
        <v/>
      </c>
      <c r="E10" s="9">
        <f>IF(E5=0,0,E7/E5)</f>
        <v/>
      </c>
      <c r="F10" s="9">
        <f>IF(F5=0,0,F7/F5)</f>
        <v/>
      </c>
      <c r="H10" s="9">
        <f>IF(H5=0,0,H7/H5)</f>
        <v/>
      </c>
      <c r="I10" s="9">
        <f>IF(I5=0,0,I7/I5)</f>
        <v/>
      </c>
      <c r="J10" s="9">
        <f>IF(J5=0,0,J7/J5)</f>
        <v/>
      </c>
      <c r="K10" s="9">
        <f>IF(K5=0,0,K7/K5)</f>
        <v/>
      </c>
      <c r="L10" s="9">
        <f>IF(L5=0,0,L7/L5)</f>
        <v/>
      </c>
      <c r="N10" s="9">
        <f>IF(N5=0,0,N7/N5)</f>
        <v/>
      </c>
      <c r="O10" s="9">
        <f>IF(O5=0,0,O7/O5)</f>
        <v/>
      </c>
      <c r="P10" s="9">
        <f>IF(P5=0,0,P7/P5)</f>
        <v/>
      </c>
      <c r="Q10" s="9">
        <f>IF(Q5=0,0,Q7/Q5)</f>
        <v/>
      </c>
      <c r="R10" s="9">
        <f>IF(R5=0,0,R7/R5)</f>
        <v/>
      </c>
    </row>
    <row r="11">
      <c r="A11" t="inlineStr">
        <is>
          <t>Revenue per Device</t>
        </is>
      </c>
      <c r="B11" s="8">
        <f>IF(B4=0,0,B5/B4)</f>
        <v/>
      </c>
      <c r="C11" s="8">
        <f>IF(C4=0,0,C5/C4)</f>
        <v/>
      </c>
      <c r="D11" s="8">
        <f>IF(D4=0,0,D5/D4)</f>
        <v/>
      </c>
      <c r="E11" s="8">
        <f>IF(E4=0,0,E5/E4)</f>
        <v/>
      </c>
      <c r="F11" s="8">
        <f>IF(F4=0,0,F5/F4)</f>
        <v/>
      </c>
      <c r="H11" s="8">
        <f>IF(H4=0,0,H5/H4)</f>
        <v/>
      </c>
      <c r="I11" s="8">
        <f>IF(I4=0,0,I5/I4)</f>
        <v/>
      </c>
      <c r="J11" s="8">
        <f>IF(J4=0,0,J5/J4)</f>
        <v/>
      </c>
      <c r="K11" s="8">
        <f>IF(K4=0,0,K5/K4)</f>
        <v/>
      </c>
      <c r="L11" s="8">
        <f>IF(L4=0,0,L5/L4)</f>
        <v/>
      </c>
      <c r="N11" s="8">
        <f>IF(N4=0,0,N5/N4)</f>
        <v/>
      </c>
      <c r="O11" s="8">
        <f>IF(O4=0,0,O5/O4)</f>
        <v/>
      </c>
      <c r="P11" s="8">
        <f>IF(P4=0,0,P5/P4)</f>
        <v/>
      </c>
      <c r="Q11" s="8">
        <f>IF(Q4=0,0,Q5/Q4)</f>
        <v/>
      </c>
      <c r="R11" s="8">
        <f>IF(R4=0,0,R5/R4)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Cash Flow Statement</t>
        </is>
      </c>
    </row>
    <row r="2">
      <c r="A2" s="7" t="inlineStr"/>
      <c r="B2" s="7" t="inlineStr">
        <is>
          <t>Year 1</t>
        </is>
      </c>
      <c r="C2" s="7" t="inlineStr">
        <is>
          <t>Year 2</t>
        </is>
      </c>
      <c r="D2" s="7" t="inlineStr">
        <is>
          <t>Year 3</t>
        </is>
      </c>
      <c r="E2" s="7" t="inlineStr">
        <is>
          <t>Year 4</t>
        </is>
      </c>
      <c r="F2" s="7" t="inlineStr">
        <is>
          <t>Year 5</t>
        </is>
      </c>
    </row>
    <row r="3">
      <c r="A3" t="inlineStr">
        <is>
          <t>EBITDA</t>
        </is>
      </c>
      <c r="B3" s="8">
        <f>'P&amp;L'!B20</f>
        <v/>
      </c>
      <c r="C3" s="8">
        <f>'P&amp;L'!C20</f>
        <v/>
      </c>
      <c r="D3" s="8">
        <f>'P&amp;L'!D20</f>
        <v/>
      </c>
      <c r="E3" s="8">
        <f>'P&amp;L'!E20</f>
        <v/>
      </c>
      <c r="F3" s="8">
        <f>'P&amp;L'!F20</f>
        <v/>
      </c>
    </row>
    <row r="4">
      <c r="A4" t="inlineStr">
        <is>
          <t>CapEx</t>
        </is>
      </c>
      <c r="B4" s="8" t="n">
        <v>-500000</v>
      </c>
      <c r="C4" s="8" t="n">
        <v>-2000000</v>
      </c>
      <c r="D4" s="8" t="n">
        <v>-3000000</v>
      </c>
      <c r="E4" s="8" t="n">
        <v>-4000000</v>
      </c>
      <c r="F4" s="8" t="n">
        <v>-5000000</v>
      </c>
    </row>
    <row r="5">
      <c r="A5" t="inlineStr">
        <is>
          <t>Working Capital Changes</t>
        </is>
      </c>
      <c r="B5" s="8" t="n">
        <v>-200000</v>
      </c>
      <c r="C5" s="8" t="n">
        <v>-1000000</v>
      </c>
      <c r="D5" s="8" t="n">
        <v>-1500000</v>
      </c>
      <c r="E5" s="8" t="n">
        <v>-2000000</v>
      </c>
      <c r="F5" s="8" t="n">
        <v>-2500000</v>
      </c>
    </row>
    <row r="6">
      <c r="A6" t="inlineStr"/>
    </row>
    <row r="7">
      <c r="A7" s="4" t="inlineStr">
        <is>
          <t>Operating Cash Flow</t>
        </is>
      </c>
      <c r="B7" s="8">
        <f>B3+B4+B5</f>
        <v/>
      </c>
      <c r="C7" s="8">
        <f>C3+C4+C5</f>
        <v/>
      </c>
      <c r="D7" s="8">
        <f>D3+D4+D5</f>
        <v/>
      </c>
      <c r="E7" s="8">
        <f>E3+E4+E5</f>
        <v/>
      </c>
      <c r="F7" s="8">
        <f>F3+F4+F5</f>
        <v/>
      </c>
    </row>
    <row r="8">
      <c r="A8" t="inlineStr"/>
    </row>
    <row r="9">
      <c r="A9" t="inlineStr">
        <is>
          <t>Fundraising Inflows</t>
        </is>
      </c>
      <c r="B9" s="8" t="n">
        <v>3500000</v>
      </c>
      <c r="C9" s="8" t="n">
        <v>15000000</v>
      </c>
      <c r="D9" s="8" t="n">
        <v>75000000</v>
      </c>
      <c r="E9" s="8" t="n">
        <v>0</v>
      </c>
      <c r="F9" s="8" t="n">
        <v>0</v>
      </c>
    </row>
    <row r="10">
      <c r="A10" s="4" t="inlineStr">
        <is>
          <t>Net Cash Flow</t>
        </is>
      </c>
      <c r="B10" s="8">
        <f>B7+B9</f>
        <v/>
      </c>
      <c r="C10" s="8">
        <f>C7+C9</f>
        <v/>
      </c>
      <c r="D10" s="8">
        <f>D7+D9</f>
        <v/>
      </c>
      <c r="E10" s="8">
        <f>E7+E9</f>
        <v/>
      </c>
      <c r="F10" s="8">
        <f>F7+F9</f>
        <v/>
      </c>
    </row>
    <row r="11">
      <c r="A11" t="inlineStr"/>
    </row>
    <row r="12">
      <c r="A12" t="inlineStr">
        <is>
          <t>Opening Cash</t>
        </is>
      </c>
      <c r="B12" s="8" t="n">
        <v>0</v>
      </c>
      <c r="C12" s="8">
        <f>B13</f>
        <v/>
      </c>
      <c r="D12" s="8">
        <f>C13</f>
        <v/>
      </c>
      <c r="E12" s="8">
        <f>D13</f>
        <v/>
      </c>
      <c r="F12" s="8">
        <f>E13</f>
        <v/>
      </c>
    </row>
    <row r="13">
      <c r="A13" s="15" t="inlineStr">
        <is>
          <t>Closing Cash</t>
        </is>
      </c>
      <c r="B13" s="8">
        <f>B12+B10</f>
        <v/>
      </c>
      <c r="C13" s="8">
        <f>C12+C10</f>
        <v/>
      </c>
      <c r="D13" s="8">
        <f>D12+D10</f>
        <v/>
      </c>
      <c r="E13" s="8">
        <f>E12+E10</f>
        <v/>
      </c>
      <c r="F13" s="8">
        <f>F12+F10</f>
        <v/>
      </c>
    </row>
    <row r="14">
      <c r="A14" t="inlineStr"/>
    </row>
    <row r="15">
      <c r="A15" t="inlineStr">
        <is>
          <t>Monthly Burn Rate</t>
        </is>
      </c>
      <c r="B15" s="8">
        <f>('P&amp;L'!B18+ABS(B4))/12</f>
        <v/>
      </c>
      <c r="C15" s="8">
        <f>('P&amp;L'!C18+ABS(C4))/12</f>
        <v/>
      </c>
      <c r="D15" s="8">
        <f>('P&amp;L'!D18+ABS(D4))/12</f>
        <v/>
      </c>
      <c r="E15" s="8">
        <f>('P&amp;L'!E18+ABS(E4))/12</f>
        <v/>
      </c>
      <c r="F15" s="8">
        <f>('P&amp;L'!F18+ABS(F4))/12</f>
        <v/>
      </c>
    </row>
    <row r="16">
      <c r="A16" s="4" t="inlineStr">
        <is>
          <t>Runway (Months)</t>
        </is>
      </c>
      <c r="B16" s="17">
        <f>IF(B15=0,0,B13/B15)</f>
        <v/>
      </c>
      <c r="C16" s="17">
        <f>IF(C15=0,0,C13/C15)</f>
        <v/>
      </c>
      <c r="D16" s="17">
        <f>IF(D15=0,0,D13/D15)</f>
        <v/>
      </c>
      <c r="E16" s="17">
        <f>IF(E15=0,0,E13/E15)</f>
        <v/>
      </c>
      <c r="F16" s="17">
        <f>IF(F15=0,0,F13/F15)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Cap Table</t>
        </is>
      </c>
    </row>
    <row r="2">
      <c r="A2" s="7" t="inlineStr"/>
      <c r="B2" s="7" t="inlineStr">
        <is>
          <t>Ownership %</t>
        </is>
      </c>
      <c r="C2" s="7" t="inlineStr">
        <is>
          <t>Amount ($)</t>
        </is>
      </c>
      <c r="D2" s="7" t="inlineStr">
        <is>
          <t>Valuation ($)</t>
        </is>
      </c>
    </row>
    <row r="3">
      <c r="A3" s="4" t="inlineStr">
        <is>
          <t>Founders (Pre-Seed)</t>
        </is>
      </c>
      <c r="B3" s="9" t="n">
        <v>1</v>
      </c>
    </row>
    <row r="4">
      <c r="A4" t="inlineStr">
        <is>
          <t>Option Pool (carved out)</t>
        </is>
      </c>
      <c r="B4" s="9" t="n">
        <v>0.1</v>
      </c>
    </row>
    <row r="5">
      <c r="A5" t="inlineStr">
        <is>
          <t>Founders (Post-Pool)</t>
        </is>
      </c>
      <c r="B5" s="9">
        <f>B3-B4</f>
        <v/>
      </c>
    </row>
    <row r="6">
      <c r="A6" t="inlineStr"/>
    </row>
    <row r="7">
      <c r="A7" s="7" t="inlineStr">
        <is>
          <t>SEED ROUND</t>
        </is>
      </c>
      <c r="B7" s="7" t="inlineStr">
        <is>
          <t>Ownership %</t>
        </is>
      </c>
      <c r="C7" s="7" t="inlineStr">
        <is>
          <t>Amount ($)</t>
        </is>
      </c>
      <c r="D7" s="7" t="inlineStr">
        <is>
          <t>Valuation ($)</t>
        </is>
      </c>
    </row>
    <row r="8">
      <c r="A8" t="inlineStr">
        <is>
          <t>Amount Raised</t>
        </is>
      </c>
      <c r="C8" s="8">
        <f>Assumptions!B51</f>
        <v/>
      </c>
    </row>
    <row r="9">
      <c r="A9" t="inlineStr">
        <is>
          <t>Pre-money Valuation</t>
        </is>
      </c>
      <c r="D9" s="8">
        <f>Assumptions!C51</f>
        <v/>
      </c>
    </row>
    <row r="10">
      <c r="A10" t="inlineStr">
        <is>
          <t>Post-money Valuation</t>
        </is>
      </c>
      <c r="D10" s="8">
        <f>C8+D9</f>
        <v/>
      </c>
    </row>
    <row r="11">
      <c r="A11" t="inlineStr">
        <is>
          <t>Seed Investors %</t>
        </is>
      </c>
      <c r="B11" s="9">
        <f>C8/D10</f>
        <v/>
      </c>
    </row>
    <row r="12">
      <c r="A12" t="inlineStr">
        <is>
          <t>Founders post-Seed</t>
        </is>
      </c>
      <c r="B12" s="9">
        <f>(1-B4-B11)</f>
        <v/>
      </c>
    </row>
    <row r="13">
      <c r="A13" t="inlineStr">
        <is>
          <t>Option Pool post-Seed</t>
        </is>
      </c>
      <c r="B13" s="9">
        <f>B4</f>
        <v/>
      </c>
    </row>
    <row r="14">
      <c r="A14" t="inlineStr"/>
    </row>
    <row r="15">
      <c r="A15" s="7" t="inlineStr">
        <is>
          <t>SERIES A</t>
        </is>
      </c>
      <c r="B15" s="7" t="inlineStr">
        <is>
          <t>Ownership %</t>
        </is>
      </c>
      <c r="C15" s="7" t="inlineStr">
        <is>
          <t>Amount ($)</t>
        </is>
      </c>
      <c r="D15" s="7" t="inlineStr">
        <is>
          <t>Valuation ($)</t>
        </is>
      </c>
    </row>
    <row r="16">
      <c r="A16" t="inlineStr">
        <is>
          <t>Amount Raised</t>
        </is>
      </c>
      <c r="C16" s="8">
        <f>Assumptions!B52</f>
        <v/>
      </c>
    </row>
    <row r="17">
      <c r="A17" t="inlineStr">
        <is>
          <t>Pre-money Valuation</t>
        </is>
      </c>
      <c r="D17" s="8">
        <f>Assumptions!C52</f>
        <v/>
      </c>
    </row>
    <row r="18">
      <c r="A18" t="inlineStr">
        <is>
          <t>Post-money Valuation</t>
        </is>
      </c>
      <c r="D18" s="8">
        <f>C16+D17</f>
        <v/>
      </c>
    </row>
    <row r="19">
      <c r="A19" t="inlineStr">
        <is>
          <t>Series A Investors %</t>
        </is>
      </c>
      <c r="B19" s="9">
        <f>C16/D18</f>
        <v/>
      </c>
    </row>
    <row r="20">
      <c r="A20" t="inlineStr">
        <is>
          <t>Founders post-A (diluted)</t>
        </is>
      </c>
      <c r="B20" s="9">
        <f>B12*(1-B19)</f>
        <v/>
      </c>
    </row>
    <row r="21">
      <c r="A21" t="inlineStr">
        <is>
          <t>Seed Investors post-A (diluted)</t>
        </is>
      </c>
      <c r="B21" s="9">
        <f>B11*(1-B19)</f>
        <v/>
      </c>
    </row>
    <row r="22">
      <c r="A22" t="inlineStr">
        <is>
          <t>Option Pool post-A (diluted)</t>
        </is>
      </c>
      <c r="B22" s="9">
        <f>B13*(1-B19)</f>
        <v/>
      </c>
    </row>
    <row r="23">
      <c r="A23" t="inlineStr"/>
    </row>
    <row r="24">
      <c r="A24" s="7" t="inlineStr">
        <is>
          <t>SERIES B</t>
        </is>
      </c>
      <c r="B24" s="7" t="inlineStr">
        <is>
          <t>Ownership %</t>
        </is>
      </c>
      <c r="C24" s="7" t="inlineStr">
        <is>
          <t>Amount ($)</t>
        </is>
      </c>
      <c r="D24" s="7" t="inlineStr">
        <is>
          <t>Valuation ($)</t>
        </is>
      </c>
    </row>
    <row r="25">
      <c r="A25" t="inlineStr">
        <is>
          <t>Amount Raised</t>
        </is>
      </c>
      <c r="C25" s="8">
        <f>Assumptions!B53</f>
        <v/>
      </c>
    </row>
    <row r="26">
      <c r="A26" t="inlineStr">
        <is>
          <t>Pre-money Valuation</t>
        </is>
      </c>
      <c r="D26" s="8">
        <f>Assumptions!C53</f>
        <v/>
      </c>
    </row>
    <row r="27">
      <c r="A27" t="inlineStr">
        <is>
          <t>Post-money Valuation</t>
        </is>
      </c>
      <c r="D27" s="8">
        <f>C25+D26</f>
        <v/>
      </c>
    </row>
    <row r="28">
      <c r="A28" t="inlineStr">
        <is>
          <t>Series B Investors %</t>
        </is>
      </c>
      <c r="B28" s="9">
        <f>C25/D27</f>
        <v/>
      </c>
    </row>
    <row r="29">
      <c r="A29" t="inlineStr">
        <is>
          <t>Founders post-B (diluted)</t>
        </is>
      </c>
      <c r="B29" s="9">
        <f>B20*(1-B28)</f>
        <v/>
      </c>
    </row>
    <row r="30">
      <c r="A30" t="inlineStr">
        <is>
          <t>Seed Investors post-B (diluted)</t>
        </is>
      </c>
      <c r="B30" s="9">
        <f>B21*(1-B28)</f>
        <v/>
      </c>
    </row>
    <row r="31">
      <c r="A31" t="inlineStr">
        <is>
          <t>Series A Investors post-B (diluted)</t>
        </is>
      </c>
      <c r="B31" s="9">
        <f>B19*(1-B28)</f>
        <v/>
      </c>
    </row>
    <row r="32">
      <c r="A32" t="inlineStr">
        <is>
          <t>Option Pool post-B (diluted)</t>
        </is>
      </c>
      <c r="B32" s="9">
        <f>B22*(1-B28)</f>
        <v/>
      </c>
    </row>
    <row r="33">
      <c r="A33" t="inlineStr">
        <is>
          <t>Series B Investors</t>
        </is>
      </c>
      <c r="B33" s="9">
        <f>B28</f>
        <v/>
      </c>
    </row>
    <row r="34">
      <c r="A34" t="inlineStr"/>
    </row>
    <row r="35">
      <c r="A35" s="4" t="inlineStr">
        <is>
          <t>TOTAL (verify = 100%)</t>
        </is>
      </c>
      <c r="B35" s="9">
        <f>B29+B30+B31+B32+B33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50"/>
    <outlinePr summaryBelow="1" summaryRight="1"/>
    <pageSetUpPr/>
  </sheetPr>
  <dimension ref="A2:J38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Hardware+Sub</t>
        </is>
      </c>
      <c r="C2" t="inlineStr">
        <is>
          <t>Data Licensing</t>
        </is>
      </c>
      <c r="D2" t="inlineStr">
        <is>
          <t>Weather</t>
        </is>
      </c>
      <c r="E2" t="inlineStr">
        <is>
          <t>Platform IP</t>
        </is>
      </c>
    </row>
    <row r="3">
      <c r="A3" t="inlineStr">
        <is>
          <t>Y1</t>
        </is>
      </c>
      <c r="B3" s="8">
        <f>'Revenue Buildup'!B6</f>
        <v/>
      </c>
      <c r="C3" s="8">
        <f>'Revenue Buildup'!B14</f>
        <v/>
      </c>
      <c r="D3" s="8">
        <f>'Revenue Buildup'!B20</f>
        <v/>
      </c>
      <c r="E3" s="8">
        <f>'Revenue Buildup'!B24</f>
        <v/>
      </c>
    </row>
    <row r="4">
      <c r="A4" t="inlineStr">
        <is>
          <t>Y2</t>
        </is>
      </c>
      <c r="B4" s="8">
        <f>'Revenue Buildup'!C6</f>
        <v/>
      </c>
      <c r="C4" s="8">
        <f>'Revenue Buildup'!C14</f>
        <v/>
      </c>
      <c r="D4" s="8">
        <f>'Revenue Buildup'!C20</f>
        <v/>
      </c>
      <c r="E4" s="8">
        <f>'Revenue Buildup'!C24</f>
        <v/>
      </c>
    </row>
    <row r="5">
      <c r="A5" t="inlineStr">
        <is>
          <t>Y3</t>
        </is>
      </c>
      <c r="B5" s="8">
        <f>'Revenue Buildup'!D6</f>
        <v/>
      </c>
      <c r="C5" s="8">
        <f>'Revenue Buildup'!D14</f>
        <v/>
      </c>
      <c r="D5" s="8">
        <f>'Revenue Buildup'!D20</f>
        <v/>
      </c>
      <c r="E5" s="8">
        <f>'Revenue Buildup'!D24</f>
        <v/>
      </c>
    </row>
    <row r="6">
      <c r="A6" t="inlineStr">
        <is>
          <t>Y4</t>
        </is>
      </c>
      <c r="B6" s="8">
        <f>'Revenue Buildup'!E6</f>
        <v/>
      </c>
      <c r="C6" s="8">
        <f>'Revenue Buildup'!E14</f>
        <v/>
      </c>
      <c r="D6" s="8">
        <f>'Revenue Buildup'!E20</f>
        <v/>
      </c>
      <c r="E6" s="8">
        <f>'Revenue Buildup'!E24</f>
        <v/>
      </c>
    </row>
    <row r="7">
      <c r="A7" t="inlineStr">
        <is>
          <t>Y5</t>
        </is>
      </c>
      <c r="B7" s="8">
        <f>'Revenue Buildup'!F6</f>
        <v/>
      </c>
      <c r="C7" s="8">
        <f>'Revenue Buildup'!F14</f>
        <v/>
      </c>
      <c r="D7" s="8">
        <f>'Revenue Buildup'!F20</f>
        <v/>
      </c>
      <c r="E7" s="8">
        <f>'Revenue Buildup'!F24</f>
        <v/>
      </c>
    </row>
    <row r="10">
      <c r="G10" t="inlineStr">
        <is>
          <t>Year</t>
        </is>
      </c>
      <c r="H10" t="inlineStr">
        <is>
          <t>Conservative</t>
        </is>
      </c>
      <c r="I10" t="inlineStr">
        <is>
          <t>Base</t>
        </is>
      </c>
      <c r="J10" t="inlineStr">
        <is>
          <t>Optimistic</t>
        </is>
      </c>
    </row>
    <row r="11">
      <c r="G11" t="inlineStr">
        <is>
          <t>Y1</t>
        </is>
      </c>
      <c r="H11" s="8">
        <f>Scenarios!B5</f>
        <v/>
      </c>
      <c r="I11" s="8">
        <f>Scenarios!H5</f>
        <v/>
      </c>
      <c r="J11" s="8">
        <f>Scenarios!N5</f>
        <v/>
      </c>
    </row>
    <row r="12">
      <c r="G12" t="inlineStr">
        <is>
          <t>Y2</t>
        </is>
      </c>
      <c r="H12" s="8">
        <f>Scenarios!C5</f>
        <v/>
      </c>
      <c r="I12" s="8">
        <f>Scenarios!I5</f>
        <v/>
      </c>
      <c r="J12" s="8">
        <f>Scenarios!O5</f>
        <v/>
      </c>
    </row>
    <row r="13">
      <c r="G13" t="inlineStr">
        <is>
          <t>Y3</t>
        </is>
      </c>
      <c r="H13" s="8">
        <f>Scenarios!D5</f>
        <v/>
      </c>
      <c r="I13" s="8">
        <f>Scenarios!J5</f>
        <v/>
      </c>
      <c r="J13" s="8">
        <f>Scenarios!P5</f>
        <v/>
      </c>
    </row>
    <row r="14">
      <c r="G14" t="inlineStr">
        <is>
          <t>Y4</t>
        </is>
      </c>
      <c r="H14" s="8">
        <f>Scenarios!E5</f>
        <v/>
      </c>
      <c r="I14" s="8">
        <f>Scenarios!K5</f>
        <v/>
      </c>
      <c r="J14" s="8">
        <f>Scenarios!Q5</f>
        <v/>
      </c>
    </row>
    <row r="15">
      <c r="G15" t="inlineStr">
        <is>
          <t>Y5</t>
        </is>
      </c>
      <c r="H15" s="8">
        <f>Scenarios!F5</f>
        <v/>
      </c>
      <c r="I15" s="8">
        <f>Scenarios!L5</f>
        <v/>
      </c>
      <c r="J15" s="8">
        <f>Scenarios!R5</f>
        <v/>
      </c>
    </row>
    <row r="18">
      <c r="A18" t="inlineStr">
        <is>
          <t>Year</t>
        </is>
      </c>
      <c r="B18" t="inlineStr">
        <is>
          <t>Gross Margin %</t>
        </is>
      </c>
    </row>
    <row r="19">
      <c r="A19" t="inlineStr">
        <is>
          <t>Y1</t>
        </is>
      </c>
      <c r="B19" s="9">
        <f>'P&amp;L'!B13</f>
        <v/>
      </c>
    </row>
    <row r="20">
      <c r="A20" t="inlineStr">
        <is>
          <t>Y2</t>
        </is>
      </c>
      <c r="B20" s="9">
        <f>'P&amp;L'!C13</f>
        <v/>
      </c>
    </row>
    <row r="21">
      <c r="A21" t="inlineStr">
        <is>
          <t>Y3</t>
        </is>
      </c>
      <c r="B21" s="9">
        <f>'P&amp;L'!D13</f>
        <v/>
      </c>
    </row>
    <row r="22">
      <c r="A22" t="inlineStr">
        <is>
          <t>Y4</t>
        </is>
      </c>
      <c r="B22" s="9">
        <f>'P&amp;L'!E13</f>
        <v/>
      </c>
    </row>
    <row r="23">
      <c r="A23" t="inlineStr">
        <is>
          <t>Y5</t>
        </is>
      </c>
      <c r="B23" s="9">
        <f>'P&amp;L'!F13</f>
        <v/>
      </c>
    </row>
    <row r="25">
      <c r="G25" t="inlineStr">
        <is>
          <t>Year</t>
        </is>
      </c>
      <c r="H25" t="inlineStr">
        <is>
          <t>Closing Cash</t>
        </is>
      </c>
    </row>
    <row r="26">
      <c r="G26" t="inlineStr">
        <is>
          <t>Y1</t>
        </is>
      </c>
      <c r="H26" s="8">
        <f>'Cash Flow'!B13</f>
        <v/>
      </c>
    </row>
    <row r="27">
      <c r="G27" t="inlineStr">
        <is>
          <t>Y2</t>
        </is>
      </c>
      <c r="H27" s="8">
        <f>'Cash Flow'!C13</f>
        <v/>
      </c>
    </row>
    <row r="28">
      <c r="G28" t="inlineStr">
        <is>
          <t>Y3</t>
        </is>
      </c>
      <c r="H28" s="8">
        <f>'Cash Flow'!D13</f>
        <v/>
      </c>
    </row>
    <row r="29">
      <c r="G29" t="inlineStr">
        <is>
          <t>Y4</t>
        </is>
      </c>
      <c r="H29" s="8">
        <f>'Cash Flow'!E13</f>
        <v/>
      </c>
    </row>
    <row r="30">
      <c r="G30" t="inlineStr">
        <is>
          <t>Y5</t>
        </is>
      </c>
      <c r="H30" s="8">
        <f>'Cash Flow'!F13</f>
        <v/>
      </c>
    </row>
    <row r="33">
      <c r="A33" t="inlineStr">
        <is>
          <t>Year</t>
        </is>
      </c>
      <c r="B33" t="inlineStr">
        <is>
          <t>Cumulative Devices</t>
        </is>
      </c>
    </row>
    <row r="34">
      <c r="A34" t="inlineStr">
        <is>
          <t>Y1</t>
        </is>
      </c>
      <c r="B34" s="11">
        <f>Assumptions!B12</f>
        <v/>
      </c>
    </row>
    <row r="35">
      <c r="A35" t="inlineStr">
        <is>
          <t>Y2</t>
        </is>
      </c>
      <c r="B35" s="11">
        <f>Assumptions!C12</f>
        <v/>
      </c>
    </row>
    <row r="36">
      <c r="A36" t="inlineStr">
        <is>
          <t>Y3</t>
        </is>
      </c>
      <c r="B36" s="11">
        <f>Assumptions!D12</f>
        <v/>
      </c>
    </row>
    <row r="37">
      <c r="A37" t="inlineStr">
        <is>
          <t>Y4</t>
        </is>
      </c>
      <c r="B37" s="11">
        <f>Assumptions!E12</f>
        <v/>
      </c>
    </row>
    <row r="38">
      <c r="A38" t="inlineStr">
        <is>
          <t>Y5</t>
        </is>
      </c>
      <c r="B38" s="11">
        <f>Assumptions!F12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2026-04-16T00:57:17Z</dcterms:created>
  <dcterms:modified xmlns:dcterms="http://purl.org/dc/terms/" xmlns:xsi="http://www.w3.org/2001/XMLSchema-instance" xsi:type="dcterms:W3CDTF">2026-04-16T00:57:17Z</dcterms:modified>
</cp:coreProperties>
</file>